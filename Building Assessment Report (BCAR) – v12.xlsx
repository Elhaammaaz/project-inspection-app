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https://darriyadh.sharepoint.com/sites/PowerBI-ReportingSystem/Shared Documents/Mostafa Hammam - Shared Folder/EXPRO/"/>
    </mc:Choice>
  </mc:AlternateContent>
  <xr:revisionPtr revIDLastSave="2257" documentId="13_ncr:1_{A6B5F37F-FC29-471B-87BA-0B43F9E27D28}" xr6:coauthVersionLast="47" xr6:coauthVersionMax="47" xr10:uidLastSave="{F72488F9-E8CD-456D-A347-F9AC12D3EEC9}"/>
  <bookViews>
    <workbookView xWindow="28680" yWindow="-120" windowWidth="29040" windowHeight="15720" tabRatio="657" activeTab="1" xr2:uid="{00000000-000D-0000-FFFF-FFFF00000000}"/>
  </bookViews>
  <sheets>
    <sheet name="User Manual" sheetId="27" r:id="rId1"/>
    <sheet name="Executive Assessment Summary" sheetId="28" r:id="rId2"/>
    <sheet name="Government Compliance Checklist" sheetId="4" r:id="rId3"/>
    <sheet name="Lists" sheetId="3" state="hidden" r:id="rId4"/>
    <sheet name="Building Assessment" sheetId="25" r:id="rId5"/>
    <sheet name="Test Register" sheetId="21" r:id="rId6"/>
    <sheet name="CAPA Register" sheetId="22" r:id="rId7"/>
  </sheets>
  <definedNames>
    <definedName name="Architectural_Fabric_Component">Lists!$C$66:$C$79</definedName>
    <definedName name="Architectural_Fabric_Subsystem">Lists!$B$66:$B$74</definedName>
    <definedName name="Compliance_Documentation_Component">Lists!#REF!</definedName>
    <definedName name="Compliance_Documentation_Subsystem">Lists!#REF!</definedName>
    <definedName name="Digital_ICT_Component">Lists!$C$136:$C$149</definedName>
    <definedName name="Digital_ICT_Subsystem">Lists!$B$130:$B$144</definedName>
    <definedName name="Electrical_Component">Lists!#REF!</definedName>
    <definedName name="Electrical_Subsystem">Lists!#REF!</definedName>
    <definedName name="EvidenceType">Lists!#REF!</definedName>
    <definedName name="External_Parking_Component">Lists!$C$80:$C$93</definedName>
    <definedName name="External_Parking_Subsystem">Lists!$B$80:$B$88</definedName>
    <definedName name="FindingCategory">Lists!#REF!</definedName>
    <definedName name="FM_Performance_Component">Lists!$C$178:$C$192</definedName>
    <definedName name="FM_Performance_Subsystem">Lists!$B$178:$B$187</definedName>
    <definedName name="Landscape_Component">Lists!#REF!</definedName>
    <definedName name="Landscape_Subsystem">Lists!#REF!</definedName>
    <definedName name="LIST_EVIDENCE">Lists!#REF!</definedName>
    <definedName name="LIST_FINDCAT">Lists!#REF!</definedName>
    <definedName name="LIST_PRIORITY">Lists!#REF!</definedName>
    <definedName name="LIST_RATINGS">Lists!#REF!</definedName>
    <definedName name="LIST_STATUS">Lists!#REF!</definedName>
    <definedName name="Mechanical_HVAC_Component">Lists!#REF!</definedName>
    <definedName name="Mechanical_HVAC_Subsystem">Lists!#REF!</definedName>
    <definedName name="PassFail">Lists!#REF!</definedName>
    <definedName name="Plumbing_Water_Component">Lists!#REF!</definedName>
    <definedName name="Plumbing_Water_Subsystem">Lists!#REF!</definedName>
    <definedName name="Pools_WaterFeatures_Component">Lists!$C$108:$C$121</definedName>
    <definedName name="Pools_WaterFeatures_Subsystem">Lists!$B$108:$B$116</definedName>
    <definedName name="_xlnm.Print_Area" localSheetId="6">'CAPA Register'!$A$1:$K$46</definedName>
    <definedName name="_xlnm.Print_Area" localSheetId="1">'Executive Assessment Summary'!$A$1:$G$75</definedName>
    <definedName name="_xlnm.Print_Area" localSheetId="2">'Government Compliance Checklist'!$A$1:$H$35</definedName>
    <definedName name="_xlnm.Print_Area" localSheetId="5">'Test Register'!$A$1:$M$81</definedName>
    <definedName name="_xlnm.Print_Area" localSheetId="0">'User Manual'!$A$1:$J$70</definedName>
    <definedName name="_xlnm.Print_Titles" localSheetId="4">'Building Assessment'!$1:$1</definedName>
    <definedName name="Priority">Lists!#REF!</definedName>
    <definedName name="Rating">Lists!#REF!</definedName>
    <definedName name="Responsibility">Lists!$E$3:$E$9</definedName>
    <definedName name="Security_Safety_Component">Lists!$C$122:$C$135</definedName>
    <definedName name="Security_Safety_Subsystem">Lists!$B$122:$B$127</definedName>
    <definedName name="Status">Lists!#REF!</definedName>
    <definedName name="Structural_Component">Lists!$C$52:$C$65</definedName>
    <definedName name="Structural_Subsystem">Lists!$B$52:$B$60</definedName>
    <definedName name="Sustainability_Component">Lists!$C$150:$C$164</definedName>
    <definedName name="Sustainability_Subsystem">Lists!$B$150:$B$159</definedName>
    <definedName name="SystemList">Lists!#REF!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0" i="28" l="1"/>
  <c r="D51" i="28"/>
  <c r="D52" i="28"/>
  <c r="D53" i="28"/>
  <c r="D54" i="28"/>
  <c r="D55" i="28"/>
  <c r="D56" i="28"/>
  <c r="D57" i="28"/>
  <c r="D58" i="28"/>
  <c r="D59" i="28"/>
  <c r="D60" i="28"/>
  <c r="D61" i="28"/>
  <c r="D62" i="28"/>
  <c r="D63" i="28"/>
  <c r="D64" i="28"/>
  <c r="D65" i="28"/>
  <c r="D66" i="28"/>
  <c r="D67" i="28"/>
  <c r="D68" i="28"/>
  <c r="D69" i="28"/>
  <c r="F70" i="28"/>
  <c r="M458" i="25" l="1"/>
  <c r="O458" i="25" s="1"/>
  <c r="M459" i="25"/>
  <c r="O459" i="25" s="1"/>
  <c r="M460" i="25"/>
  <c r="O460" i="25" s="1"/>
  <c r="M461" i="25"/>
  <c r="O461" i="25" s="1"/>
  <c r="M462" i="25"/>
  <c r="O462" i="25" s="1"/>
  <c r="M463" i="25"/>
  <c r="O463" i="25" s="1"/>
  <c r="M464" i="25"/>
  <c r="O464" i="25" s="1"/>
  <c r="M465" i="25"/>
  <c r="O465" i="25" s="1"/>
  <c r="M466" i="25"/>
  <c r="O466" i="25" s="1"/>
  <c r="M467" i="25"/>
  <c r="O467" i="25" s="1"/>
  <c r="M468" i="25"/>
  <c r="O468" i="25" s="1"/>
  <c r="M469" i="25"/>
  <c r="O469" i="25" s="1"/>
  <c r="M470" i="25"/>
  <c r="O470" i="25" s="1"/>
  <c r="M471" i="25"/>
  <c r="O471" i="25" s="1"/>
  <c r="M472" i="25"/>
  <c r="O472" i="25" s="1"/>
  <c r="M473" i="25"/>
  <c r="O473" i="25" s="1"/>
  <c r="M474" i="25"/>
  <c r="O474" i="25" s="1"/>
  <c r="M475" i="25"/>
  <c r="O475" i="25" s="1"/>
  <c r="M476" i="25"/>
  <c r="O476" i="25" s="1"/>
  <c r="M477" i="25"/>
  <c r="O477" i="25" s="1"/>
  <c r="M478" i="25"/>
  <c r="O478" i="25" s="1"/>
  <c r="M479" i="25"/>
  <c r="O479" i="25" s="1"/>
  <c r="M480" i="25"/>
  <c r="O480" i="25" s="1"/>
  <c r="M481" i="25"/>
  <c r="O481" i="25" s="1"/>
  <c r="M482" i="25"/>
  <c r="O482" i="25" s="1"/>
  <c r="M483" i="25"/>
  <c r="O483" i="25" s="1"/>
  <c r="M484" i="25"/>
  <c r="O484" i="25" s="1"/>
  <c r="M485" i="25"/>
  <c r="O485" i="25" s="1"/>
  <c r="M486" i="25"/>
  <c r="O486" i="25" s="1"/>
  <c r="M487" i="25"/>
  <c r="O487" i="25" s="1"/>
  <c r="M488" i="25"/>
  <c r="O488" i="25" s="1"/>
  <c r="M489" i="25"/>
  <c r="O489" i="25" s="1"/>
  <c r="M490" i="25"/>
  <c r="O490" i="25" s="1"/>
  <c r="M491" i="25"/>
  <c r="O491" i="25" s="1"/>
  <c r="M492" i="25"/>
  <c r="O492" i="25" s="1"/>
  <c r="M493" i="25"/>
  <c r="O493" i="25" s="1"/>
  <c r="M494" i="25"/>
  <c r="O494" i="25" s="1"/>
  <c r="M495" i="25"/>
  <c r="O495" i="25" s="1"/>
  <c r="M496" i="25"/>
  <c r="O496" i="25" s="1"/>
  <c r="M497" i="25"/>
  <c r="O497" i="25" s="1"/>
  <c r="M498" i="25"/>
  <c r="O498" i="25" s="1"/>
  <c r="M499" i="25"/>
  <c r="O499" i="25" s="1"/>
  <c r="M500" i="25"/>
  <c r="O500" i="25" s="1"/>
  <c r="M501" i="25"/>
  <c r="O501" i="25" s="1"/>
  <c r="M502" i="25"/>
  <c r="O502" i="25" s="1"/>
  <c r="M503" i="25"/>
  <c r="O503" i="25" s="1"/>
  <c r="M504" i="25"/>
  <c r="O504" i="25" s="1"/>
  <c r="M505" i="25"/>
  <c r="O505" i="25" s="1"/>
  <c r="M506" i="25"/>
  <c r="O506" i="25" s="1"/>
  <c r="M507" i="25"/>
  <c r="O507" i="25" s="1"/>
  <c r="M508" i="25"/>
  <c r="O508" i="25" s="1"/>
  <c r="M509" i="25"/>
  <c r="O509" i="25" s="1"/>
  <c r="M510" i="25"/>
  <c r="O510" i="25" s="1"/>
  <c r="M511" i="25"/>
  <c r="O511" i="25" s="1"/>
  <c r="M512" i="25"/>
  <c r="O512" i="25" s="1"/>
  <c r="M513" i="25"/>
  <c r="O513" i="25" s="1"/>
  <c r="M514" i="25"/>
  <c r="O514" i="25" s="1"/>
  <c r="M515" i="25"/>
  <c r="O515" i="25" s="1"/>
  <c r="M516" i="25"/>
  <c r="O516" i="25" s="1"/>
  <c r="M517" i="25"/>
  <c r="O517" i="25" s="1"/>
  <c r="M518" i="25"/>
  <c r="O518" i="25" s="1"/>
  <c r="M519" i="25"/>
  <c r="O519" i="25" s="1"/>
  <c r="M520" i="25"/>
  <c r="O520" i="25" s="1"/>
  <c r="M521" i="25"/>
  <c r="O521" i="25" s="1"/>
  <c r="M522" i="25"/>
  <c r="O522" i="25" s="1"/>
  <c r="M523" i="25"/>
  <c r="O523" i="25" s="1"/>
  <c r="M524" i="25"/>
  <c r="O524" i="25" s="1"/>
  <c r="M525" i="25"/>
  <c r="O525" i="25" s="1"/>
  <c r="M526" i="25"/>
  <c r="O526" i="25" s="1"/>
  <c r="M527" i="25"/>
  <c r="O527" i="25" s="1"/>
  <c r="M528" i="25"/>
  <c r="O528" i="25" s="1"/>
  <c r="M529" i="25"/>
  <c r="O529" i="25" s="1"/>
  <c r="M530" i="25"/>
  <c r="O530" i="25" s="1"/>
  <c r="M531" i="25"/>
  <c r="O531" i="25" s="1"/>
  <c r="M532" i="25"/>
  <c r="O532" i="25" s="1"/>
  <c r="M533" i="25"/>
  <c r="O533" i="25" s="1"/>
  <c r="M534" i="25"/>
  <c r="O534" i="25" s="1"/>
  <c r="M535" i="25"/>
  <c r="O535" i="25" s="1"/>
  <c r="M536" i="25"/>
  <c r="O536" i="25" s="1"/>
  <c r="M537" i="25"/>
  <c r="O537" i="25" s="1"/>
  <c r="M538" i="25"/>
  <c r="O538" i="25" s="1"/>
  <c r="M539" i="25"/>
  <c r="O539" i="25" s="1"/>
  <c r="M540" i="25"/>
  <c r="O540" i="25" s="1"/>
  <c r="M541" i="25"/>
  <c r="O541" i="25" s="1"/>
  <c r="M542" i="25"/>
  <c r="O542" i="25" s="1"/>
  <c r="M543" i="25"/>
  <c r="O543" i="25" s="1"/>
  <c r="M544" i="25"/>
  <c r="O544" i="25" s="1"/>
  <c r="M545" i="25"/>
  <c r="O545" i="25" s="1"/>
  <c r="M546" i="25"/>
  <c r="O546" i="25" s="1"/>
  <c r="M547" i="25"/>
  <c r="O547" i="25" s="1"/>
  <c r="M548" i="25"/>
  <c r="O548" i="25" s="1"/>
  <c r="M549" i="25"/>
  <c r="O549" i="25" s="1"/>
  <c r="M550" i="25"/>
  <c r="O550" i="25" s="1"/>
  <c r="M551" i="25"/>
  <c r="O551" i="25" s="1"/>
  <c r="M552" i="25"/>
  <c r="O552" i="25" s="1"/>
  <c r="M553" i="25"/>
  <c r="O553" i="25" s="1"/>
  <c r="M554" i="25"/>
  <c r="O554" i="25" s="1"/>
  <c r="M555" i="25"/>
  <c r="O555" i="25" s="1"/>
  <c r="M556" i="25"/>
  <c r="O556" i="25" s="1"/>
  <c r="M557" i="25"/>
  <c r="O557" i="25" s="1"/>
  <c r="M558" i="25"/>
  <c r="O558" i="25" s="1"/>
  <c r="M559" i="25"/>
  <c r="O559" i="25" s="1"/>
  <c r="M560" i="25"/>
  <c r="O560" i="25" s="1"/>
  <c r="M561" i="25"/>
  <c r="O561" i="25" s="1"/>
  <c r="M562" i="25"/>
  <c r="O562" i="25" s="1"/>
  <c r="M563" i="25"/>
  <c r="O563" i="25" s="1"/>
  <c r="M564" i="25"/>
  <c r="O564" i="25" s="1"/>
  <c r="M565" i="25"/>
  <c r="O565" i="25" s="1"/>
  <c r="M566" i="25"/>
  <c r="O566" i="25" s="1"/>
  <c r="M567" i="25"/>
  <c r="O567" i="25" s="1"/>
  <c r="M568" i="25"/>
  <c r="O568" i="25" s="1"/>
  <c r="M569" i="25"/>
  <c r="O569" i="25" s="1"/>
  <c r="M570" i="25"/>
  <c r="O570" i="25" s="1"/>
  <c r="M571" i="25"/>
  <c r="O571" i="25" s="1"/>
  <c r="M572" i="25"/>
  <c r="O572" i="25" s="1"/>
  <c r="M573" i="25"/>
  <c r="O573" i="25" s="1"/>
  <c r="M574" i="25"/>
  <c r="O574" i="25" s="1"/>
  <c r="M575" i="25"/>
  <c r="O575" i="25" s="1"/>
  <c r="M576" i="25"/>
  <c r="O576" i="25" s="1"/>
  <c r="M577" i="25"/>
  <c r="O577" i="25" s="1"/>
  <c r="M578" i="25"/>
  <c r="O578" i="25" s="1"/>
  <c r="M579" i="25"/>
  <c r="O579" i="25" s="1"/>
  <c r="M580" i="25"/>
  <c r="O580" i="25" s="1"/>
  <c r="M581" i="25"/>
  <c r="O581" i="25" s="1"/>
  <c r="M582" i="25"/>
  <c r="O582" i="25" s="1"/>
  <c r="M583" i="25"/>
  <c r="O583" i="25" s="1"/>
  <c r="M584" i="25"/>
  <c r="O584" i="25" s="1"/>
  <c r="M585" i="25"/>
  <c r="O585" i="25" s="1"/>
  <c r="M586" i="25"/>
  <c r="O586" i="25" s="1"/>
  <c r="M587" i="25"/>
  <c r="O587" i="25" s="1"/>
  <c r="M588" i="25"/>
  <c r="O588" i="25" s="1"/>
  <c r="M589" i="25"/>
  <c r="O589" i="25" s="1"/>
  <c r="M590" i="25"/>
  <c r="O590" i="25" s="1"/>
  <c r="M591" i="25"/>
  <c r="O591" i="25" s="1"/>
  <c r="M592" i="25"/>
  <c r="O592" i="25" s="1"/>
  <c r="M593" i="25"/>
  <c r="O593" i="25" s="1"/>
  <c r="M594" i="25"/>
  <c r="O594" i="25" s="1"/>
  <c r="M595" i="25"/>
  <c r="O595" i="25" s="1"/>
  <c r="M596" i="25"/>
  <c r="O596" i="25" s="1"/>
  <c r="M597" i="25"/>
  <c r="O597" i="25" s="1"/>
  <c r="M598" i="25"/>
  <c r="O598" i="25" s="1"/>
  <c r="M599" i="25"/>
  <c r="O599" i="25" s="1"/>
  <c r="M600" i="25"/>
  <c r="O600" i="25" s="1"/>
  <c r="M601" i="25"/>
  <c r="O601" i="25" s="1"/>
  <c r="M602" i="25"/>
  <c r="O602" i="25" s="1"/>
  <c r="M603" i="25"/>
  <c r="O603" i="25" s="1"/>
  <c r="M604" i="25"/>
  <c r="O604" i="25" s="1"/>
  <c r="M605" i="25"/>
  <c r="O605" i="25" s="1"/>
  <c r="M606" i="25"/>
  <c r="O606" i="25" s="1"/>
  <c r="M607" i="25"/>
  <c r="O607" i="25" s="1"/>
  <c r="M608" i="25"/>
  <c r="O608" i="25" s="1"/>
  <c r="M609" i="25"/>
  <c r="O609" i="25" s="1"/>
  <c r="M610" i="25"/>
  <c r="O610" i="25" s="1"/>
  <c r="M611" i="25"/>
  <c r="O611" i="25" s="1"/>
  <c r="M612" i="25"/>
  <c r="O612" i="25" s="1"/>
  <c r="M613" i="25"/>
  <c r="O613" i="25" s="1"/>
  <c r="M614" i="25"/>
  <c r="O614" i="25" s="1"/>
  <c r="M615" i="25"/>
  <c r="O615" i="25" s="1"/>
  <c r="M616" i="25"/>
  <c r="O616" i="25" s="1"/>
  <c r="M617" i="25"/>
  <c r="O617" i="25" s="1"/>
  <c r="M618" i="25"/>
  <c r="O618" i="25" s="1"/>
  <c r="M619" i="25"/>
  <c r="O619" i="25" s="1"/>
  <c r="M620" i="25"/>
  <c r="O620" i="25" s="1"/>
  <c r="M621" i="25"/>
  <c r="O621" i="25" s="1"/>
  <c r="M622" i="25"/>
  <c r="O622" i="25" s="1"/>
  <c r="M623" i="25"/>
  <c r="O623" i="25" s="1"/>
  <c r="M624" i="25"/>
  <c r="O624" i="25" s="1"/>
  <c r="M625" i="25"/>
  <c r="O625" i="25" s="1"/>
  <c r="M626" i="25"/>
  <c r="O626" i="25" s="1"/>
  <c r="M627" i="25"/>
  <c r="O627" i="25" s="1"/>
  <c r="M628" i="25"/>
  <c r="O628" i="25" s="1"/>
  <c r="M629" i="25"/>
  <c r="O629" i="25" s="1"/>
  <c r="M630" i="25"/>
  <c r="O630" i="25" s="1"/>
  <c r="M631" i="25"/>
  <c r="O631" i="25" s="1"/>
  <c r="M632" i="25"/>
  <c r="O632" i="25" s="1"/>
  <c r="M633" i="25"/>
  <c r="O633" i="25" s="1"/>
  <c r="M634" i="25"/>
  <c r="O634" i="25" s="1"/>
  <c r="M635" i="25"/>
  <c r="O635" i="25" s="1"/>
  <c r="M636" i="25"/>
  <c r="O636" i="25" s="1"/>
  <c r="M637" i="25"/>
  <c r="O637" i="25" s="1"/>
  <c r="M638" i="25"/>
  <c r="O638" i="25" s="1"/>
  <c r="M639" i="25"/>
  <c r="O639" i="25" s="1"/>
  <c r="M640" i="25"/>
  <c r="O640" i="25" s="1"/>
  <c r="M641" i="25"/>
  <c r="O641" i="25" s="1"/>
  <c r="M642" i="25"/>
  <c r="O642" i="25" s="1"/>
  <c r="M643" i="25"/>
  <c r="O643" i="25" s="1"/>
  <c r="M644" i="25"/>
  <c r="O644" i="25" s="1"/>
  <c r="M645" i="25"/>
  <c r="O645" i="25" s="1"/>
  <c r="M646" i="25"/>
  <c r="O646" i="25" s="1"/>
  <c r="M647" i="25"/>
  <c r="O647" i="25" s="1"/>
  <c r="M648" i="25"/>
  <c r="O648" i="25" s="1"/>
  <c r="M649" i="25"/>
  <c r="O649" i="25" s="1"/>
  <c r="M650" i="25"/>
  <c r="O650" i="25" s="1"/>
  <c r="M651" i="25"/>
  <c r="O651" i="25" s="1"/>
  <c r="M652" i="25"/>
  <c r="O652" i="25" s="1"/>
  <c r="M653" i="25"/>
  <c r="O653" i="25" s="1"/>
  <c r="M654" i="25"/>
  <c r="O654" i="25" s="1"/>
  <c r="M655" i="25"/>
  <c r="O655" i="25" s="1"/>
  <c r="M656" i="25"/>
  <c r="O656" i="25" s="1"/>
  <c r="M657" i="25"/>
  <c r="O657" i="25" s="1"/>
  <c r="M658" i="25"/>
  <c r="O658" i="25" s="1"/>
  <c r="M659" i="25"/>
  <c r="O659" i="25" s="1"/>
  <c r="M660" i="25"/>
  <c r="O660" i="25" s="1"/>
  <c r="M661" i="25"/>
  <c r="O661" i="25" s="1"/>
  <c r="M662" i="25"/>
  <c r="O662" i="25" s="1"/>
  <c r="M663" i="25"/>
  <c r="O663" i="25" s="1"/>
  <c r="M664" i="25"/>
  <c r="O664" i="25" s="1"/>
  <c r="M665" i="25"/>
  <c r="O665" i="25" s="1"/>
  <c r="M666" i="25"/>
  <c r="O666" i="25" s="1"/>
  <c r="M667" i="25"/>
  <c r="O667" i="25" s="1"/>
  <c r="M668" i="25"/>
  <c r="O668" i="25" s="1"/>
  <c r="M669" i="25"/>
  <c r="O669" i="25" s="1"/>
  <c r="M670" i="25"/>
  <c r="O670" i="25" s="1"/>
  <c r="M671" i="25"/>
  <c r="O671" i="25" s="1"/>
  <c r="M672" i="25"/>
  <c r="O672" i="25" s="1"/>
  <c r="M673" i="25"/>
  <c r="O673" i="25" s="1"/>
  <c r="M674" i="25"/>
  <c r="O674" i="25" s="1"/>
  <c r="M675" i="25"/>
  <c r="O675" i="25" s="1"/>
  <c r="M676" i="25"/>
  <c r="O676" i="25" s="1"/>
  <c r="M677" i="25"/>
  <c r="O677" i="25" s="1"/>
  <c r="M678" i="25"/>
  <c r="O678" i="25" s="1"/>
  <c r="M679" i="25"/>
  <c r="O679" i="25" s="1"/>
  <c r="M680" i="25"/>
  <c r="O680" i="25" s="1"/>
  <c r="M681" i="25"/>
  <c r="O681" i="25" s="1"/>
  <c r="M682" i="25"/>
  <c r="O682" i="25" s="1"/>
  <c r="M683" i="25"/>
  <c r="O683" i="25" s="1"/>
  <c r="M684" i="25"/>
  <c r="O684" i="25" s="1"/>
  <c r="M685" i="25"/>
  <c r="O685" i="25" s="1"/>
  <c r="M686" i="25"/>
  <c r="O686" i="25" s="1"/>
  <c r="M687" i="25"/>
  <c r="O687" i="25" s="1"/>
  <c r="M688" i="25"/>
  <c r="O688" i="25" s="1"/>
  <c r="M689" i="25"/>
  <c r="O689" i="25" s="1"/>
  <c r="M690" i="25"/>
  <c r="O690" i="25" s="1"/>
  <c r="M691" i="25"/>
  <c r="O691" i="25" s="1"/>
  <c r="M692" i="25"/>
  <c r="O692" i="25" s="1"/>
  <c r="M693" i="25"/>
  <c r="O693" i="25" s="1"/>
  <c r="M694" i="25"/>
  <c r="O694" i="25" s="1"/>
  <c r="M695" i="25"/>
  <c r="O695" i="25" s="1"/>
  <c r="M422" i="25"/>
  <c r="O422" i="25" s="1"/>
  <c r="M423" i="25"/>
  <c r="O423" i="25" s="1"/>
  <c r="M424" i="25"/>
  <c r="O424" i="25" s="1"/>
  <c r="M425" i="25"/>
  <c r="O425" i="25" s="1"/>
  <c r="M426" i="25"/>
  <c r="O426" i="25" s="1"/>
  <c r="M427" i="25"/>
  <c r="O427" i="25" s="1"/>
  <c r="M428" i="25"/>
  <c r="O428" i="25" s="1"/>
  <c r="M429" i="25"/>
  <c r="O429" i="25" s="1"/>
  <c r="M430" i="25"/>
  <c r="O430" i="25" s="1"/>
  <c r="M431" i="25"/>
  <c r="O431" i="25" s="1"/>
  <c r="M432" i="25"/>
  <c r="O432" i="25" s="1"/>
  <c r="M433" i="25"/>
  <c r="O433" i="25" s="1"/>
  <c r="M434" i="25"/>
  <c r="O434" i="25" s="1"/>
  <c r="M435" i="25"/>
  <c r="O435" i="25" s="1"/>
  <c r="M436" i="25"/>
  <c r="O436" i="25" s="1"/>
  <c r="M437" i="25"/>
  <c r="O437" i="25" s="1"/>
  <c r="M438" i="25"/>
  <c r="O438" i="25" s="1"/>
  <c r="M439" i="25"/>
  <c r="O439" i="25" s="1"/>
  <c r="M440" i="25"/>
  <c r="O440" i="25" s="1"/>
  <c r="M441" i="25"/>
  <c r="O441" i="25" s="1"/>
  <c r="M442" i="25"/>
  <c r="O442" i="25" s="1"/>
  <c r="M443" i="25"/>
  <c r="O443" i="25" s="1"/>
  <c r="M444" i="25"/>
  <c r="O444" i="25" s="1"/>
  <c r="M445" i="25"/>
  <c r="O445" i="25" s="1"/>
  <c r="M446" i="25"/>
  <c r="O446" i="25" s="1"/>
  <c r="M447" i="25"/>
  <c r="O447" i="25" s="1"/>
  <c r="M448" i="25"/>
  <c r="O448" i="25" s="1"/>
  <c r="M449" i="25"/>
  <c r="O449" i="25" s="1"/>
  <c r="M450" i="25"/>
  <c r="O450" i="25" s="1"/>
  <c r="M451" i="25"/>
  <c r="O451" i="25" s="1"/>
  <c r="M452" i="25"/>
  <c r="O452" i="25" s="1"/>
  <c r="M453" i="25"/>
  <c r="O453" i="25" s="1"/>
  <c r="M454" i="25"/>
  <c r="O454" i="25" s="1"/>
  <c r="M455" i="25"/>
  <c r="O455" i="25" s="1"/>
  <c r="M456" i="25"/>
  <c r="O456" i="25" s="1"/>
  <c r="M457" i="25"/>
  <c r="O457" i="25" s="1"/>
  <c r="G17" i="28" l="1"/>
  <c r="C27" i="28" s="1"/>
  <c r="D20" i="28"/>
  <c r="E20" i="28"/>
  <c r="E17" i="28"/>
  <c r="C30" i="28" s="1"/>
  <c r="M3" i="25"/>
  <c r="O3" i="25" s="1"/>
  <c r="M4" i="25"/>
  <c r="O4" i="25" s="1"/>
  <c r="M5" i="25"/>
  <c r="O5" i="25" s="1"/>
  <c r="M6" i="25"/>
  <c r="O6" i="25" s="1"/>
  <c r="M7" i="25"/>
  <c r="O7" i="25" s="1"/>
  <c r="M8" i="25"/>
  <c r="O8" i="25" s="1"/>
  <c r="M9" i="25"/>
  <c r="O9" i="25" s="1"/>
  <c r="M10" i="25"/>
  <c r="O10" i="25" s="1"/>
  <c r="M11" i="25"/>
  <c r="O11" i="25" s="1"/>
  <c r="M12" i="25"/>
  <c r="O12" i="25" s="1"/>
  <c r="M13" i="25"/>
  <c r="O13" i="25" s="1"/>
  <c r="M14" i="25"/>
  <c r="O14" i="25" s="1"/>
  <c r="M15" i="25"/>
  <c r="O15" i="25" s="1"/>
  <c r="M16" i="25"/>
  <c r="O16" i="25" s="1"/>
  <c r="M17" i="25"/>
  <c r="O17" i="25" s="1"/>
  <c r="M18" i="25"/>
  <c r="O18" i="25" s="1"/>
  <c r="M19" i="25"/>
  <c r="O19" i="25" s="1"/>
  <c r="M20" i="25"/>
  <c r="O20" i="25" s="1"/>
  <c r="M21" i="25"/>
  <c r="O21" i="25" s="1"/>
  <c r="M22" i="25"/>
  <c r="O22" i="25" s="1"/>
  <c r="M23" i="25"/>
  <c r="O23" i="25" s="1"/>
  <c r="M24" i="25"/>
  <c r="O24" i="25" s="1"/>
  <c r="M25" i="25"/>
  <c r="O25" i="25" s="1"/>
  <c r="M26" i="25"/>
  <c r="O26" i="25" s="1"/>
  <c r="M27" i="25"/>
  <c r="O27" i="25" s="1"/>
  <c r="M28" i="25"/>
  <c r="O28" i="25" s="1"/>
  <c r="M29" i="25"/>
  <c r="O29" i="25" s="1"/>
  <c r="M30" i="25"/>
  <c r="O30" i="25" s="1"/>
  <c r="M31" i="25"/>
  <c r="O31" i="25" s="1"/>
  <c r="M32" i="25"/>
  <c r="O32" i="25" s="1"/>
  <c r="M33" i="25"/>
  <c r="O33" i="25" s="1"/>
  <c r="M34" i="25"/>
  <c r="O34" i="25" s="1"/>
  <c r="M35" i="25"/>
  <c r="O35" i="25" s="1"/>
  <c r="M36" i="25"/>
  <c r="O36" i="25" s="1"/>
  <c r="M37" i="25"/>
  <c r="O37" i="25" s="1"/>
  <c r="M38" i="25"/>
  <c r="O38" i="25" s="1"/>
  <c r="M39" i="25"/>
  <c r="O39" i="25" s="1"/>
  <c r="M40" i="25"/>
  <c r="O40" i="25" s="1"/>
  <c r="M41" i="25"/>
  <c r="O41" i="25" s="1"/>
  <c r="M42" i="25"/>
  <c r="O42" i="25" s="1"/>
  <c r="M43" i="25"/>
  <c r="O43" i="25" s="1"/>
  <c r="M44" i="25"/>
  <c r="O44" i="25" s="1"/>
  <c r="M45" i="25"/>
  <c r="O45" i="25" s="1"/>
  <c r="M46" i="25"/>
  <c r="O46" i="25" s="1"/>
  <c r="M47" i="25"/>
  <c r="O47" i="25" s="1"/>
  <c r="M48" i="25"/>
  <c r="O48" i="25" s="1"/>
  <c r="M49" i="25"/>
  <c r="O49" i="25" s="1"/>
  <c r="M50" i="25"/>
  <c r="O50" i="25" s="1"/>
  <c r="M51" i="25"/>
  <c r="O51" i="25" s="1"/>
  <c r="M52" i="25"/>
  <c r="O52" i="25" s="1"/>
  <c r="M53" i="25"/>
  <c r="O53" i="25" s="1"/>
  <c r="M54" i="25"/>
  <c r="O54" i="25" s="1"/>
  <c r="M55" i="25"/>
  <c r="O55" i="25" s="1"/>
  <c r="M56" i="25"/>
  <c r="O56" i="25" s="1"/>
  <c r="M57" i="25"/>
  <c r="O57" i="25" s="1"/>
  <c r="M58" i="25"/>
  <c r="O58" i="25" s="1"/>
  <c r="M59" i="25"/>
  <c r="O59" i="25" s="1"/>
  <c r="M60" i="25"/>
  <c r="O60" i="25" s="1"/>
  <c r="M61" i="25"/>
  <c r="O61" i="25" s="1"/>
  <c r="M62" i="25"/>
  <c r="O62" i="25" s="1"/>
  <c r="M63" i="25"/>
  <c r="O63" i="25" s="1"/>
  <c r="M64" i="25"/>
  <c r="O64" i="25" s="1"/>
  <c r="M65" i="25"/>
  <c r="O65" i="25" s="1"/>
  <c r="M66" i="25"/>
  <c r="O66" i="25" s="1"/>
  <c r="M67" i="25"/>
  <c r="O67" i="25" s="1"/>
  <c r="M68" i="25"/>
  <c r="O68" i="25" s="1"/>
  <c r="M69" i="25"/>
  <c r="O69" i="25" s="1"/>
  <c r="M70" i="25"/>
  <c r="O70" i="25" s="1"/>
  <c r="M71" i="25"/>
  <c r="O71" i="25" s="1"/>
  <c r="M72" i="25"/>
  <c r="O72" i="25" s="1"/>
  <c r="M73" i="25"/>
  <c r="O73" i="25" s="1"/>
  <c r="M74" i="25"/>
  <c r="O74" i="25" s="1"/>
  <c r="M75" i="25"/>
  <c r="O75" i="25" s="1"/>
  <c r="M76" i="25"/>
  <c r="O76" i="25" s="1"/>
  <c r="M77" i="25"/>
  <c r="O77" i="25" s="1"/>
  <c r="M78" i="25"/>
  <c r="O78" i="25" s="1"/>
  <c r="M79" i="25"/>
  <c r="O79" i="25" s="1"/>
  <c r="M80" i="25"/>
  <c r="O80" i="25" s="1"/>
  <c r="M81" i="25"/>
  <c r="O81" i="25" s="1"/>
  <c r="M82" i="25"/>
  <c r="O82" i="25" s="1"/>
  <c r="M83" i="25"/>
  <c r="O83" i="25" s="1"/>
  <c r="M84" i="25"/>
  <c r="O84" i="25" s="1"/>
  <c r="M85" i="25"/>
  <c r="O85" i="25" s="1"/>
  <c r="M86" i="25"/>
  <c r="O86" i="25" s="1"/>
  <c r="M87" i="25"/>
  <c r="O87" i="25" s="1"/>
  <c r="M88" i="25"/>
  <c r="O88" i="25" s="1"/>
  <c r="M89" i="25"/>
  <c r="O89" i="25" s="1"/>
  <c r="M90" i="25"/>
  <c r="O90" i="25" s="1"/>
  <c r="M91" i="25"/>
  <c r="O91" i="25" s="1"/>
  <c r="M92" i="25"/>
  <c r="O92" i="25" s="1"/>
  <c r="M93" i="25"/>
  <c r="O93" i="25" s="1"/>
  <c r="M94" i="25"/>
  <c r="O94" i="25" s="1"/>
  <c r="M95" i="25"/>
  <c r="O95" i="25" s="1"/>
  <c r="M96" i="25"/>
  <c r="O96" i="25" s="1"/>
  <c r="M97" i="25"/>
  <c r="O97" i="25" s="1"/>
  <c r="M98" i="25"/>
  <c r="O98" i="25" s="1"/>
  <c r="M99" i="25"/>
  <c r="O99" i="25" s="1"/>
  <c r="M100" i="25"/>
  <c r="O100" i="25" s="1"/>
  <c r="M101" i="25"/>
  <c r="O101" i="25" s="1"/>
  <c r="M102" i="25"/>
  <c r="O102" i="25" s="1"/>
  <c r="M103" i="25"/>
  <c r="O103" i="25" s="1"/>
  <c r="M104" i="25"/>
  <c r="O104" i="25" s="1"/>
  <c r="M105" i="25"/>
  <c r="O105" i="25" s="1"/>
  <c r="M106" i="25"/>
  <c r="O106" i="25" s="1"/>
  <c r="M107" i="25"/>
  <c r="O107" i="25" s="1"/>
  <c r="M108" i="25"/>
  <c r="O108" i="25" s="1"/>
  <c r="M109" i="25"/>
  <c r="O109" i="25" s="1"/>
  <c r="M110" i="25"/>
  <c r="O110" i="25" s="1"/>
  <c r="M111" i="25"/>
  <c r="O111" i="25" s="1"/>
  <c r="M112" i="25"/>
  <c r="O112" i="25" s="1"/>
  <c r="M113" i="25"/>
  <c r="O113" i="25" s="1"/>
  <c r="M114" i="25"/>
  <c r="O114" i="25" s="1"/>
  <c r="M115" i="25"/>
  <c r="O115" i="25" s="1"/>
  <c r="M116" i="25"/>
  <c r="O116" i="25" s="1"/>
  <c r="M117" i="25"/>
  <c r="O117" i="25" s="1"/>
  <c r="M118" i="25"/>
  <c r="O118" i="25" s="1"/>
  <c r="M119" i="25"/>
  <c r="O119" i="25" s="1"/>
  <c r="M120" i="25"/>
  <c r="O120" i="25" s="1"/>
  <c r="M121" i="25"/>
  <c r="O121" i="25" s="1"/>
  <c r="M122" i="25"/>
  <c r="O122" i="25" s="1"/>
  <c r="M123" i="25"/>
  <c r="O123" i="25" s="1"/>
  <c r="M124" i="25"/>
  <c r="O124" i="25" s="1"/>
  <c r="M125" i="25"/>
  <c r="O125" i="25" s="1"/>
  <c r="M126" i="25"/>
  <c r="O126" i="25" s="1"/>
  <c r="M127" i="25"/>
  <c r="O127" i="25" s="1"/>
  <c r="M128" i="25"/>
  <c r="O128" i="25" s="1"/>
  <c r="M129" i="25"/>
  <c r="O129" i="25" s="1"/>
  <c r="M130" i="25"/>
  <c r="O130" i="25" s="1"/>
  <c r="M131" i="25"/>
  <c r="O131" i="25" s="1"/>
  <c r="M132" i="25"/>
  <c r="O132" i="25" s="1"/>
  <c r="M133" i="25"/>
  <c r="O133" i="25" s="1"/>
  <c r="M134" i="25"/>
  <c r="O134" i="25" s="1"/>
  <c r="M135" i="25"/>
  <c r="O135" i="25" s="1"/>
  <c r="M136" i="25"/>
  <c r="O136" i="25" s="1"/>
  <c r="M137" i="25"/>
  <c r="O137" i="25" s="1"/>
  <c r="M138" i="25"/>
  <c r="O138" i="25" s="1"/>
  <c r="M139" i="25"/>
  <c r="O139" i="25" s="1"/>
  <c r="M140" i="25"/>
  <c r="O140" i="25" s="1"/>
  <c r="M141" i="25"/>
  <c r="O141" i="25" s="1"/>
  <c r="M142" i="25"/>
  <c r="O142" i="25" s="1"/>
  <c r="M143" i="25"/>
  <c r="O143" i="25" s="1"/>
  <c r="M144" i="25"/>
  <c r="O144" i="25" s="1"/>
  <c r="M145" i="25"/>
  <c r="O145" i="25" s="1"/>
  <c r="M146" i="25"/>
  <c r="O146" i="25" s="1"/>
  <c r="M147" i="25"/>
  <c r="O147" i="25" s="1"/>
  <c r="M148" i="25"/>
  <c r="O148" i="25" s="1"/>
  <c r="M149" i="25"/>
  <c r="O149" i="25" s="1"/>
  <c r="M150" i="25"/>
  <c r="O150" i="25" s="1"/>
  <c r="M151" i="25"/>
  <c r="O151" i="25" s="1"/>
  <c r="M152" i="25"/>
  <c r="O152" i="25" s="1"/>
  <c r="M153" i="25"/>
  <c r="O153" i="25" s="1"/>
  <c r="M154" i="25"/>
  <c r="O154" i="25" s="1"/>
  <c r="M155" i="25"/>
  <c r="O155" i="25" s="1"/>
  <c r="M156" i="25"/>
  <c r="O156" i="25" s="1"/>
  <c r="M157" i="25"/>
  <c r="O157" i="25" s="1"/>
  <c r="M158" i="25"/>
  <c r="O158" i="25" s="1"/>
  <c r="M159" i="25"/>
  <c r="O159" i="25" s="1"/>
  <c r="M160" i="25"/>
  <c r="O160" i="25" s="1"/>
  <c r="M161" i="25"/>
  <c r="O161" i="25" s="1"/>
  <c r="M162" i="25"/>
  <c r="O162" i="25" s="1"/>
  <c r="M163" i="25"/>
  <c r="O163" i="25" s="1"/>
  <c r="M164" i="25"/>
  <c r="O164" i="25" s="1"/>
  <c r="M165" i="25"/>
  <c r="O165" i="25" s="1"/>
  <c r="M166" i="25"/>
  <c r="O166" i="25" s="1"/>
  <c r="M167" i="25"/>
  <c r="O167" i="25" s="1"/>
  <c r="M168" i="25"/>
  <c r="O168" i="25" s="1"/>
  <c r="M169" i="25"/>
  <c r="O169" i="25" s="1"/>
  <c r="M170" i="25"/>
  <c r="O170" i="25" s="1"/>
  <c r="M171" i="25"/>
  <c r="O171" i="25" s="1"/>
  <c r="M172" i="25"/>
  <c r="O172" i="25" s="1"/>
  <c r="M173" i="25"/>
  <c r="O173" i="25" s="1"/>
  <c r="M174" i="25"/>
  <c r="O174" i="25" s="1"/>
  <c r="M175" i="25"/>
  <c r="O175" i="25" s="1"/>
  <c r="M176" i="25"/>
  <c r="O176" i="25" s="1"/>
  <c r="M177" i="25"/>
  <c r="O177" i="25" s="1"/>
  <c r="M178" i="25"/>
  <c r="O178" i="25" s="1"/>
  <c r="M179" i="25"/>
  <c r="O179" i="25" s="1"/>
  <c r="M180" i="25"/>
  <c r="O180" i="25" s="1"/>
  <c r="M181" i="25"/>
  <c r="O181" i="25" s="1"/>
  <c r="M182" i="25"/>
  <c r="O182" i="25" s="1"/>
  <c r="M183" i="25"/>
  <c r="O183" i="25" s="1"/>
  <c r="M184" i="25"/>
  <c r="O184" i="25" s="1"/>
  <c r="M185" i="25"/>
  <c r="O185" i="25" s="1"/>
  <c r="M186" i="25"/>
  <c r="O186" i="25" s="1"/>
  <c r="M187" i="25"/>
  <c r="O187" i="25" s="1"/>
  <c r="M188" i="25"/>
  <c r="O188" i="25" s="1"/>
  <c r="M189" i="25"/>
  <c r="O189" i="25" s="1"/>
  <c r="M190" i="25"/>
  <c r="O190" i="25" s="1"/>
  <c r="M191" i="25"/>
  <c r="O191" i="25" s="1"/>
  <c r="M192" i="25"/>
  <c r="O192" i="25" s="1"/>
  <c r="M193" i="25"/>
  <c r="O193" i="25" s="1"/>
  <c r="M194" i="25"/>
  <c r="O194" i="25" s="1"/>
  <c r="M195" i="25"/>
  <c r="O195" i="25" s="1"/>
  <c r="M196" i="25"/>
  <c r="O196" i="25" s="1"/>
  <c r="M197" i="25"/>
  <c r="O197" i="25" s="1"/>
  <c r="M198" i="25"/>
  <c r="O198" i="25" s="1"/>
  <c r="M199" i="25"/>
  <c r="O199" i="25" s="1"/>
  <c r="M200" i="25"/>
  <c r="O200" i="25" s="1"/>
  <c r="M201" i="25"/>
  <c r="O201" i="25" s="1"/>
  <c r="M202" i="25"/>
  <c r="O202" i="25" s="1"/>
  <c r="M203" i="25"/>
  <c r="O203" i="25" s="1"/>
  <c r="M204" i="25"/>
  <c r="O204" i="25" s="1"/>
  <c r="M205" i="25"/>
  <c r="O205" i="25" s="1"/>
  <c r="M206" i="25"/>
  <c r="O206" i="25" s="1"/>
  <c r="M207" i="25"/>
  <c r="O207" i="25" s="1"/>
  <c r="M208" i="25"/>
  <c r="O208" i="25" s="1"/>
  <c r="M209" i="25"/>
  <c r="O209" i="25" s="1"/>
  <c r="M210" i="25"/>
  <c r="O210" i="25" s="1"/>
  <c r="M211" i="25"/>
  <c r="O211" i="25" s="1"/>
  <c r="M212" i="25"/>
  <c r="O212" i="25" s="1"/>
  <c r="M213" i="25"/>
  <c r="O213" i="25" s="1"/>
  <c r="M214" i="25"/>
  <c r="O214" i="25" s="1"/>
  <c r="M215" i="25"/>
  <c r="O215" i="25" s="1"/>
  <c r="M216" i="25"/>
  <c r="O216" i="25" s="1"/>
  <c r="M217" i="25"/>
  <c r="O217" i="25" s="1"/>
  <c r="M218" i="25"/>
  <c r="O218" i="25" s="1"/>
  <c r="M219" i="25"/>
  <c r="O219" i="25" s="1"/>
  <c r="M220" i="25"/>
  <c r="O220" i="25" s="1"/>
  <c r="M221" i="25"/>
  <c r="O221" i="25" s="1"/>
  <c r="M222" i="25"/>
  <c r="O222" i="25" s="1"/>
  <c r="M223" i="25"/>
  <c r="O223" i="25" s="1"/>
  <c r="M224" i="25"/>
  <c r="O224" i="25" s="1"/>
  <c r="M225" i="25"/>
  <c r="O225" i="25" s="1"/>
  <c r="M226" i="25"/>
  <c r="O226" i="25" s="1"/>
  <c r="M227" i="25"/>
  <c r="O227" i="25" s="1"/>
  <c r="M228" i="25"/>
  <c r="O228" i="25" s="1"/>
  <c r="M229" i="25"/>
  <c r="O229" i="25" s="1"/>
  <c r="M230" i="25"/>
  <c r="O230" i="25" s="1"/>
  <c r="M231" i="25"/>
  <c r="O231" i="25" s="1"/>
  <c r="M232" i="25"/>
  <c r="O232" i="25" s="1"/>
  <c r="M233" i="25"/>
  <c r="O233" i="25" s="1"/>
  <c r="M234" i="25"/>
  <c r="O234" i="25" s="1"/>
  <c r="M235" i="25"/>
  <c r="O235" i="25" s="1"/>
  <c r="M236" i="25"/>
  <c r="O236" i="25" s="1"/>
  <c r="M237" i="25"/>
  <c r="O237" i="25" s="1"/>
  <c r="M238" i="25"/>
  <c r="O238" i="25" s="1"/>
  <c r="M239" i="25"/>
  <c r="O239" i="25" s="1"/>
  <c r="M240" i="25"/>
  <c r="O240" i="25" s="1"/>
  <c r="M241" i="25"/>
  <c r="O241" i="25" s="1"/>
  <c r="M242" i="25"/>
  <c r="O242" i="25" s="1"/>
  <c r="M243" i="25"/>
  <c r="O243" i="25" s="1"/>
  <c r="M244" i="25"/>
  <c r="O244" i="25" s="1"/>
  <c r="M245" i="25"/>
  <c r="O245" i="25" s="1"/>
  <c r="M246" i="25"/>
  <c r="O246" i="25" s="1"/>
  <c r="M247" i="25"/>
  <c r="O247" i="25" s="1"/>
  <c r="M248" i="25"/>
  <c r="O248" i="25" s="1"/>
  <c r="M249" i="25"/>
  <c r="O249" i="25" s="1"/>
  <c r="M250" i="25"/>
  <c r="O250" i="25" s="1"/>
  <c r="M251" i="25"/>
  <c r="O251" i="25" s="1"/>
  <c r="M252" i="25"/>
  <c r="O252" i="25" s="1"/>
  <c r="M253" i="25"/>
  <c r="O253" i="25" s="1"/>
  <c r="M254" i="25"/>
  <c r="O254" i="25" s="1"/>
  <c r="M255" i="25"/>
  <c r="O255" i="25" s="1"/>
  <c r="M256" i="25"/>
  <c r="O256" i="25" s="1"/>
  <c r="M257" i="25"/>
  <c r="O257" i="25" s="1"/>
  <c r="M258" i="25"/>
  <c r="O258" i="25" s="1"/>
  <c r="M259" i="25"/>
  <c r="O259" i="25" s="1"/>
  <c r="M260" i="25"/>
  <c r="O260" i="25" s="1"/>
  <c r="M261" i="25"/>
  <c r="O261" i="25" s="1"/>
  <c r="M262" i="25"/>
  <c r="O262" i="25" s="1"/>
  <c r="M263" i="25"/>
  <c r="O263" i="25" s="1"/>
  <c r="M264" i="25"/>
  <c r="O264" i="25" s="1"/>
  <c r="M265" i="25"/>
  <c r="O265" i="25" s="1"/>
  <c r="M266" i="25"/>
  <c r="O266" i="25" s="1"/>
  <c r="M267" i="25"/>
  <c r="O267" i="25" s="1"/>
  <c r="M268" i="25"/>
  <c r="O268" i="25" s="1"/>
  <c r="M269" i="25"/>
  <c r="O269" i="25" s="1"/>
  <c r="M270" i="25"/>
  <c r="O270" i="25" s="1"/>
  <c r="M271" i="25"/>
  <c r="O271" i="25" s="1"/>
  <c r="M272" i="25"/>
  <c r="O272" i="25" s="1"/>
  <c r="M273" i="25"/>
  <c r="O273" i="25" s="1"/>
  <c r="M274" i="25"/>
  <c r="O274" i="25" s="1"/>
  <c r="M275" i="25"/>
  <c r="O275" i="25" s="1"/>
  <c r="M276" i="25"/>
  <c r="O276" i="25" s="1"/>
  <c r="M277" i="25"/>
  <c r="O277" i="25" s="1"/>
  <c r="M278" i="25"/>
  <c r="O278" i="25" s="1"/>
  <c r="M279" i="25"/>
  <c r="O279" i="25" s="1"/>
  <c r="M280" i="25"/>
  <c r="O280" i="25" s="1"/>
  <c r="M281" i="25"/>
  <c r="O281" i="25" s="1"/>
  <c r="M282" i="25"/>
  <c r="O282" i="25" s="1"/>
  <c r="M283" i="25"/>
  <c r="O283" i="25" s="1"/>
  <c r="M284" i="25"/>
  <c r="O284" i="25" s="1"/>
  <c r="M285" i="25"/>
  <c r="O285" i="25" s="1"/>
  <c r="M286" i="25"/>
  <c r="O286" i="25" s="1"/>
  <c r="M287" i="25"/>
  <c r="O287" i="25" s="1"/>
  <c r="M288" i="25"/>
  <c r="O288" i="25" s="1"/>
  <c r="M289" i="25"/>
  <c r="O289" i="25" s="1"/>
  <c r="M290" i="25"/>
  <c r="O290" i="25" s="1"/>
  <c r="M291" i="25"/>
  <c r="O291" i="25" s="1"/>
  <c r="M292" i="25"/>
  <c r="O292" i="25" s="1"/>
  <c r="M293" i="25"/>
  <c r="O293" i="25" s="1"/>
  <c r="M294" i="25"/>
  <c r="O294" i="25" s="1"/>
  <c r="M295" i="25"/>
  <c r="O295" i="25" s="1"/>
  <c r="M296" i="25"/>
  <c r="O296" i="25" s="1"/>
  <c r="M297" i="25"/>
  <c r="O297" i="25" s="1"/>
  <c r="M298" i="25"/>
  <c r="O298" i="25" s="1"/>
  <c r="M299" i="25"/>
  <c r="O299" i="25" s="1"/>
  <c r="M300" i="25"/>
  <c r="O300" i="25" s="1"/>
  <c r="M301" i="25"/>
  <c r="O301" i="25" s="1"/>
  <c r="M302" i="25"/>
  <c r="O302" i="25" s="1"/>
  <c r="M303" i="25"/>
  <c r="O303" i="25" s="1"/>
  <c r="M304" i="25"/>
  <c r="O304" i="25" s="1"/>
  <c r="M305" i="25"/>
  <c r="O305" i="25" s="1"/>
  <c r="M306" i="25"/>
  <c r="O306" i="25" s="1"/>
  <c r="M307" i="25"/>
  <c r="O307" i="25" s="1"/>
  <c r="M308" i="25"/>
  <c r="O308" i="25" s="1"/>
  <c r="M309" i="25"/>
  <c r="O309" i="25" s="1"/>
  <c r="M310" i="25"/>
  <c r="O310" i="25" s="1"/>
  <c r="M311" i="25"/>
  <c r="O311" i="25" s="1"/>
  <c r="M312" i="25"/>
  <c r="O312" i="25" s="1"/>
  <c r="M313" i="25"/>
  <c r="O313" i="25" s="1"/>
  <c r="M314" i="25"/>
  <c r="O314" i="25" s="1"/>
  <c r="M315" i="25"/>
  <c r="O315" i="25" s="1"/>
  <c r="M316" i="25"/>
  <c r="O316" i="25" s="1"/>
  <c r="M317" i="25"/>
  <c r="O317" i="25" s="1"/>
  <c r="M318" i="25"/>
  <c r="O318" i="25" s="1"/>
  <c r="M319" i="25"/>
  <c r="O319" i="25" s="1"/>
  <c r="M320" i="25"/>
  <c r="O320" i="25" s="1"/>
  <c r="M321" i="25"/>
  <c r="O321" i="25" s="1"/>
  <c r="M322" i="25"/>
  <c r="O322" i="25" s="1"/>
  <c r="M323" i="25"/>
  <c r="O323" i="25" s="1"/>
  <c r="M324" i="25"/>
  <c r="O324" i="25" s="1"/>
  <c r="M325" i="25"/>
  <c r="O325" i="25" s="1"/>
  <c r="M326" i="25"/>
  <c r="O326" i="25" s="1"/>
  <c r="M327" i="25"/>
  <c r="O327" i="25" s="1"/>
  <c r="M328" i="25"/>
  <c r="O328" i="25" s="1"/>
  <c r="M329" i="25"/>
  <c r="O329" i="25" s="1"/>
  <c r="M330" i="25"/>
  <c r="O330" i="25" s="1"/>
  <c r="M331" i="25"/>
  <c r="O331" i="25" s="1"/>
  <c r="M332" i="25"/>
  <c r="O332" i="25" s="1"/>
  <c r="M333" i="25"/>
  <c r="O333" i="25" s="1"/>
  <c r="M334" i="25"/>
  <c r="O334" i="25" s="1"/>
  <c r="M335" i="25"/>
  <c r="O335" i="25" s="1"/>
  <c r="M336" i="25"/>
  <c r="O336" i="25" s="1"/>
  <c r="M337" i="25"/>
  <c r="O337" i="25" s="1"/>
  <c r="M338" i="25"/>
  <c r="O338" i="25" s="1"/>
  <c r="M339" i="25"/>
  <c r="O339" i="25" s="1"/>
  <c r="M340" i="25"/>
  <c r="O340" i="25" s="1"/>
  <c r="M341" i="25"/>
  <c r="O341" i="25" s="1"/>
  <c r="M342" i="25"/>
  <c r="O342" i="25" s="1"/>
  <c r="M343" i="25"/>
  <c r="O343" i="25" s="1"/>
  <c r="M344" i="25"/>
  <c r="O344" i="25" s="1"/>
  <c r="M345" i="25"/>
  <c r="O345" i="25" s="1"/>
  <c r="M346" i="25"/>
  <c r="O346" i="25" s="1"/>
  <c r="M347" i="25"/>
  <c r="O347" i="25" s="1"/>
  <c r="M348" i="25"/>
  <c r="O348" i="25" s="1"/>
  <c r="M349" i="25"/>
  <c r="O349" i="25" s="1"/>
  <c r="M350" i="25"/>
  <c r="O350" i="25" s="1"/>
  <c r="M351" i="25"/>
  <c r="O351" i="25" s="1"/>
  <c r="M352" i="25"/>
  <c r="O352" i="25" s="1"/>
  <c r="M353" i="25"/>
  <c r="O353" i="25" s="1"/>
  <c r="M354" i="25"/>
  <c r="O354" i="25" s="1"/>
  <c r="M355" i="25"/>
  <c r="O355" i="25" s="1"/>
  <c r="M356" i="25"/>
  <c r="O356" i="25" s="1"/>
  <c r="M357" i="25"/>
  <c r="O357" i="25" s="1"/>
  <c r="M358" i="25"/>
  <c r="O358" i="25" s="1"/>
  <c r="M359" i="25"/>
  <c r="O359" i="25" s="1"/>
  <c r="M360" i="25"/>
  <c r="O360" i="25" s="1"/>
  <c r="M361" i="25"/>
  <c r="O361" i="25" s="1"/>
  <c r="M362" i="25"/>
  <c r="O362" i="25" s="1"/>
  <c r="M363" i="25"/>
  <c r="O363" i="25" s="1"/>
  <c r="M364" i="25"/>
  <c r="O364" i="25" s="1"/>
  <c r="M365" i="25"/>
  <c r="O365" i="25" s="1"/>
  <c r="M366" i="25"/>
  <c r="O366" i="25" s="1"/>
  <c r="M367" i="25"/>
  <c r="O367" i="25" s="1"/>
  <c r="M368" i="25"/>
  <c r="O368" i="25" s="1"/>
  <c r="M369" i="25"/>
  <c r="O369" i="25" s="1"/>
  <c r="M370" i="25"/>
  <c r="O370" i="25" s="1"/>
  <c r="M371" i="25"/>
  <c r="O371" i="25" s="1"/>
  <c r="M372" i="25"/>
  <c r="O372" i="25" s="1"/>
  <c r="M373" i="25"/>
  <c r="O373" i="25" s="1"/>
  <c r="M374" i="25"/>
  <c r="O374" i="25" s="1"/>
  <c r="M375" i="25"/>
  <c r="O375" i="25" s="1"/>
  <c r="M376" i="25"/>
  <c r="O376" i="25" s="1"/>
  <c r="M377" i="25"/>
  <c r="O377" i="25" s="1"/>
  <c r="M378" i="25"/>
  <c r="O378" i="25" s="1"/>
  <c r="M379" i="25"/>
  <c r="O379" i="25" s="1"/>
  <c r="M380" i="25"/>
  <c r="O380" i="25" s="1"/>
  <c r="M381" i="25"/>
  <c r="O381" i="25" s="1"/>
  <c r="M382" i="25"/>
  <c r="O382" i="25" s="1"/>
  <c r="M383" i="25"/>
  <c r="O383" i="25" s="1"/>
  <c r="M384" i="25"/>
  <c r="O384" i="25" s="1"/>
  <c r="M385" i="25"/>
  <c r="O385" i="25" s="1"/>
  <c r="M386" i="25"/>
  <c r="O386" i="25" s="1"/>
  <c r="M387" i="25"/>
  <c r="O387" i="25" s="1"/>
  <c r="M388" i="25"/>
  <c r="O388" i="25" s="1"/>
  <c r="M389" i="25"/>
  <c r="O389" i="25" s="1"/>
  <c r="M390" i="25"/>
  <c r="O390" i="25" s="1"/>
  <c r="M391" i="25"/>
  <c r="O391" i="25" s="1"/>
  <c r="M392" i="25"/>
  <c r="O392" i="25" s="1"/>
  <c r="M393" i="25"/>
  <c r="O393" i="25" s="1"/>
  <c r="M394" i="25"/>
  <c r="O394" i="25" s="1"/>
  <c r="M395" i="25"/>
  <c r="O395" i="25" s="1"/>
  <c r="M396" i="25"/>
  <c r="O396" i="25" s="1"/>
  <c r="M397" i="25"/>
  <c r="O397" i="25" s="1"/>
  <c r="M398" i="25"/>
  <c r="O398" i="25" s="1"/>
  <c r="M399" i="25"/>
  <c r="O399" i="25" s="1"/>
  <c r="M400" i="25"/>
  <c r="O400" i="25" s="1"/>
  <c r="M401" i="25"/>
  <c r="O401" i="25" s="1"/>
  <c r="M402" i="25"/>
  <c r="O402" i="25" s="1"/>
  <c r="M403" i="25"/>
  <c r="O403" i="25" s="1"/>
  <c r="M404" i="25"/>
  <c r="O404" i="25" s="1"/>
  <c r="M405" i="25"/>
  <c r="O405" i="25" s="1"/>
  <c r="M406" i="25"/>
  <c r="O406" i="25" s="1"/>
  <c r="M407" i="25"/>
  <c r="O407" i="25" s="1"/>
  <c r="M408" i="25"/>
  <c r="O408" i="25" s="1"/>
  <c r="M409" i="25"/>
  <c r="O409" i="25" s="1"/>
  <c r="M410" i="25"/>
  <c r="O410" i="25" s="1"/>
  <c r="M411" i="25"/>
  <c r="O411" i="25" s="1"/>
  <c r="M412" i="25"/>
  <c r="O412" i="25" s="1"/>
  <c r="M413" i="25"/>
  <c r="O413" i="25" s="1"/>
  <c r="M414" i="25"/>
  <c r="O414" i="25" s="1"/>
  <c r="M415" i="25"/>
  <c r="O415" i="25" s="1"/>
  <c r="M416" i="25"/>
  <c r="O416" i="25" s="1"/>
  <c r="M417" i="25"/>
  <c r="O417" i="25" s="1"/>
  <c r="M418" i="25"/>
  <c r="O418" i="25" s="1"/>
  <c r="M419" i="25"/>
  <c r="O419" i="25" s="1"/>
  <c r="M420" i="25"/>
  <c r="O420" i="25" s="1"/>
  <c r="M421" i="25"/>
  <c r="O421" i="25" s="1"/>
  <c r="M2" i="25"/>
  <c r="O2" i="25" s="1"/>
  <c r="D49" i="28"/>
  <c r="E54" i="28" l="1"/>
  <c r="G54" i="28" s="1"/>
  <c r="E53" i="28"/>
  <c r="G53" i="28" s="1"/>
  <c r="E57" i="28"/>
  <c r="G57" i="28" s="1"/>
  <c r="E59" i="28"/>
  <c r="G59" i="28" s="1"/>
  <c r="E56" i="28"/>
  <c r="G56" i="28" s="1"/>
  <c r="E51" i="28"/>
  <c r="G51" i="28" s="1"/>
  <c r="E60" i="28"/>
  <c r="G60" i="28" s="1"/>
  <c r="E52" i="28"/>
  <c r="G52" i="28" s="1"/>
  <c r="E50" i="28"/>
  <c r="G50" i="28" s="1"/>
  <c r="E58" i="28"/>
  <c r="G58" i="28" s="1"/>
  <c r="E55" i="28"/>
  <c r="G55" i="28" s="1"/>
  <c r="E66" i="28"/>
  <c r="G66" i="28" s="1"/>
  <c r="D70" i="28"/>
  <c r="E61" i="28"/>
  <c r="G61" i="28" s="1"/>
  <c r="E49" i="28"/>
  <c r="G49" i="28" s="1"/>
  <c r="E62" i="28"/>
  <c r="G62" i="28" s="1"/>
  <c r="E68" i="28"/>
  <c r="G68" i="28" s="1"/>
  <c r="E65" i="28"/>
  <c r="G65" i="28" s="1"/>
  <c r="E69" i="28"/>
  <c r="G69" i="28" s="1"/>
  <c r="E64" i="28"/>
  <c r="G64" i="28" s="1"/>
  <c r="E67" i="28"/>
  <c r="G67" i="28" s="1"/>
  <c r="E63" i="28"/>
  <c r="G63" i="28" s="1"/>
  <c r="F17" i="28" l="1"/>
  <c r="C20" i="28"/>
  <c r="G70" i="28" l="1"/>
  <c r="D17" i="28" s="1"/>
  <c r="C17" i="28" s="1"/>
  <c r="G20" i="28" l="1"/>
  <c r="F20" i="28" s="1"/>
  <c r="C25" i="28"/>
</calcChain>
</file>

<file path=xl/sharedStrings.xml><?xml version="1.0" encoding="utf-8"?>
<sst xmlns="http://schemas.openxmlformats.org/spreadsheetml/2006/main" count="13568" uniqueCount="4531">
  <si>
    <t>Project / Building Name</t>
  </si>
  <si>
    <t>Address</t>
  </si>
  <si>
    <t>GPS Coordinates (Lat, Long)</t>
  </si>
  <si>
    <t>Building Type</t>
  </si>
  <si>
    <t>Primary Use</t>
  </si>
  <si>
    <t>Construction Year</t>
  </si>
  <si>
    <t>No. of Floors</t>
  </si>
  <si>
    <t>Inspection Date</t>
  </si>
  <si>
    <t>FM Contractor / Service Provider</t>
  </si>
  <si>
    <t>Priority</t>
  </si>
  <si>
    <t>Status</t>
  </si>
  <si>
    <t>Responsibility</t>
  </si>
  <si>
    <t>EvidenceType</t>
  </si>
  <si>
    <t>P1</t>
  </si>
  <si>
    <t>Open</t>
  </si>
  <si>
    <t>MEP Contractor</t>
  </si>
  <si>
    <t>Photo</t>
  </si>
  <si>
    <t>Electrical</t>
  </si>
  <si>
    <t>Central Plant</t>
  </si>
  <si>
    <t>Chiller</t>
  </si>
  <si>
    <t>Foundations</t>
  </si>
  <si>
    <t>Foundation</t>
  </si>
  <si>
    <t>Internal Finishes</t>
  </si>
  <si>
    <t>Pavement</t>
  </si>
  <si>
    <t>Irrigation</t>
  </si>
  <si>
    <t>CCTV</t>
  </si>
  <si>
    <t>Camera</t>
  </si>
  <si>
    <t>LAN</t>
  </si>
  <si>
    <t>Energy Management</t>
  </si>
  <si>
    <t>P2</t>
  </si>
  <si>
    <t>In Progress</t>
  </si>
  <si>
    <t>Main Contractor</t>
  </si>
  <si>
    <t>Video</t>
  </si>
  <si>
    <t>Mechanical_HVAC</t>
  </si>
  <si>
    <t>Cooling Tower</t>
  </si>
  <si>
    <t>Hot Water</t>
  </si>
  <si>
    <t>Booster Pump</t>
  </si>
  <si>
    <t>Column</t>
  </si>
  <si>
    <t>Planting</t>
  </si>
  <si>
    <t>Filtration</t>
  </si>
  <si>
    <t>Access Control</t>
  </si>
  <si>
    <t>Router</t>
  </si>
  <si>
    <t>Water Conservation</t>
  </si>
  <si>
    <t>P3</t>
  </si>
  <si>
    <t>Closed</t>
  </si>
  <si>
    <t>N/A</t>
  </si>
  <si>
    <t>FM Contractor</t>
  </si>
  <si>
    <t>Test Report</t>
  </si>
  <si>
    <t>Plumbing_Water</t>
  </si>
  <si>
    <t>Sanitary Drainage</t>
  </si>
  <si>
    <t>Slabs</t>
  </si>
  <si>
    <t>Beam</t>
  </si>
  <si>
    <t>Lighting</t>
  </si>
  <si>
    <t>Door Controller</t>
  </si>
  <si>
    <t>Firewall</t>
  </si>
  <si>
    <t>Warranties</t>
  </si>
  <si>
    <t>Warranty Certificate</t>
  </si>
  <si>
    <t>P4</t>
  </si>
  <si>
    <t>Verified</t>
  </si>
  <si>
    <t>Specialist Vendor</t>
  </si>
  <si>
    <t>IR Scan</t>
  </si>
  <si>
    <t>Structural</t>
  </si>
  <si>
    <t>Facade Structure</t>
  </si>
  <si>
    <t>Slab</t>
  </si>
  <si>
    <t>Wet Areas</t>
  </si>
  <si>
    <t>Ceiling Panel</t>
  </si>
  <si>
    <t>Barriers &amp; Access</t>
  </si>
  <si>
    <t>Intrusion Detection</t>
  </si>
  <si>
    <t>Access Point</t>
  </si>
  <si>
    <t>IAQ</t>
  </si>
  <si>
    <t>Test Reports</t>
  </si>
  <si>
    <t>Client/Owner</t>
  </si>
  <si>
    <t>Certificate</t>
  </si>
  <si>
    <t>Architectural_Fabric</t>
  </si>
  <si>
    <t>Main LV Switchboard</t>
  </si>
  <si>
    <t>VAV Box</t>
  </si>
  <si>
    <t>Ceilings</t>
  </si>
  <si>
    <t>Door Leaf</t>
  </si>
  <si>
    <t>Patch Panel</t>
  </si>
  <si>
    <t>Commissioning</t>
  </si>
  <si>
    <t>Commissioning Report</t>
  </si>
  <si>
    <t>Inspector</t>
  </si>
  <si>
    <t>Documentation</t>
  </si>
  <si>
    <t>External_Parking</t>
  </si>
  <si>
    <t>Pipework</t>
  </si>
  <si>
    <t>Roof</t>
  </si>
  <si>
    <t>Floors</t>
  </si>
  <si>
    <t>Door Hardware</t>
  </si>
  <si>
    <t>Drainage</t>
  </si>
  <si>
    <t>Perimeter Security</t>
  </si>
  <si>
    <t>Rack</t>
  </si>
  <si>
    <t>Housekeeping</t>
  </si>
  <si>
    <t>Landscape</t>
  </si>
  <si>
    <t>Backflow Prevention</t>
  </si>
  <si>
    <t>Valve</t>
  </si>
  <si>
    <t>Signage</t>
  </si>
  <si>
    <t>Pest Control</t>
  </si>
  <si>
    <t>Pools_WaterFeatures</t>
  </si>
  <si>
    <t>Fixtures</t>
  </si>
  <si>
    <t>Backflow Preventer</t>
  </si>
  <si>
    <t>Key Management</t>
  </si>
  <si>
    <t>Cybersecurity</t>
  </si>
  <si>
    <t>Server</t>
  </si>
  <si>
    <t>Security_Safety</t>
  </si>
  <si>
    <t>Water Treatment</t>
  </si>
  <si>
    <t>Accessibility</t>
  </si>
  <si>
    <t>Waterproofing Membrane</t>
  </si>
  <si>
    <t>Storage</t>
  </si>
  <si>
    <t>Vendor Management</t>
  </si>
  <si>
    <t>Digital_ICT</t>
  </si>
  <si>
    <t>Expansion Tank</t>
  </si>
  <si>
    <t>Leak Detection</t>
  </si>
  <si>
    <t>Grease Trap</t>
  </si>
  <si>
    <t>Retaining Wall</t>
  </si>
  <si>
    <t>General Snagging</t>
  </si>
  <si>
    <t>Handrail</t>
  </si>
  <si>
    <t>Sustainability</t>
  </si>
  <si>
    <t>Manhole</t>
  </si>
  <si>
    <t>Facade Anchor</t>
  </si>
  <si>
    <t>Speaker</t>
  </si>
  <si>
    <t>Compliance_Documentation</t>
  </si>
  <si>
    <t>Emergency Light</t>
  </si>
  <si>
    <t>BMS Server</t>
  </si>
  <si>
    <t>FM_Performance</t>
  </si>
  <si>
    <t>Ductwork</t>
  </si>
  <si>
    <t>Leak Detector</t>
  </si>
  <si>
    <t>Cost Report</t>
  </si>
  <si>
    <t>Sensor</t>
  </si>
  <si>
    <t>DDC Controller</t>
  </si>
  <si>
    <t>Sump Pump</t>
  </si>
  <si>
    <t>Hardscape</t>
  </si>
  <si>
    <t>Area</t>
  </si>
  <si>
    <t>Requirement</t>
  </si>
  <si>
    <t>Evidence Ref</t>
  </si>
  <si>
    <t>Remarks</t>
  </si>
  <si>
    <t>Governance</t>
  </si>
  <si>
    <t>EXPRO alignment matrix (if required)</t>
  </si>
  <si>
    <t>Operations</t>
  </si>
  <si>
    <t>Controls</t>
  </si>
  <si>
    <t>System</t>
  </si>
  <si>
    <t>Subsystem</t>
  </si>
  <si>
    <t>Component</t>
  </si>
  <si>
    <t>Item Code</t>
  </si>
  <si>
    <t>Inspection Item</t>
  </si>
  <si>
    <t>Criteria</t>
  </si>
  <si>
    <t>Test Method</t>
  </si>
  <si>
    <t>Pass/Fail</t>
  </si>
  <si>
    <t>Due Date</t>
  </si>
  <si>
    <t>CAPA ID</t>
  </si>
  <si>
    <t>EL-IR-001</t>
  </si>
  <si>
    <t>Main feeder insulation resistance (Megger)</t>
  </si>
  <si>
    <t>MΩ values meet acceptance criteria</t>
  </si>
  <si>
    <t>EL-CT-002</t>
  </si>
  <si>
    <t>Circuit continuity test (random sample)</t>
  </si>
  <si>
    <t>Ω within acceptable range, no open circuits</t>
  </si>
  <si>
    <t>EL-LD-003</t>
  </si>
  <si>
    <t>Load test / load profiling (peak hour)</t>
  </si>
  <si>
    <t>Load % within design, no overload</t>
  </si>
  <si>
    <t>EL-ER-004</t>
  </si>
  <si>
    <t>Earth resistance test</t>
  </si>
  <si>
    <t>Ω meets acceptance limit</t>
  </si>
  <si>
    <t>EL-PR-005</t>
  </si>
  <si>
    <t>Protection relay / breaker trip test</t>
  </si>
  <si>
    <t>Trip settings verified, test records available</t>
  </si>
  <si>
    <t>EL-PQ-006</t>
  </si>
  <si>
    <t>Power quality (THD/imbalance)</t>
  </si>
  <si>
    <t>Voltage THD &lt; 5% (or project criterion)</t>
  </si>
  <si>
    <t>EL-TH-007</t>
  </si>
  <si>
    <t>Thermal scan of LV boards</t>
  </si>
  <si>
    <t>No hotspots above acceptable ΔT</t>
  </si>
  <si>
    <t>EL-RCD-008</t>
  </si>
  <si>
    <t>RCD/ELCB trip time test</t>
  </si>
  <si>
    <t>≤30ms at 1x IΔn (or project criterion)</t>
  </si>
  <si>
    <t>EL-LX-009</t>
  </si>
  <si>
    <t>Internal lighting lux test</t>
  </si>
  <si>
    <t>Lux meets area requirement; uniformity acceptable</t>
  </si>
  <si>
    <t>EL-ELX-010</t>
  </si>
  <si>
    <t>External lighting lux coverage</t>
  </si>
  <si>
    <t>Coverage meets security/parking requirement</t>
  </si>
  <si>
    <t>EL-UPS-011</t>
  </si>
  <si>
    <t>UPS autonomy test</t>
  </si>
  <si>
    <t>Autonomy meets design minutes; alarms normal</t>
  </si>
  <si>
    <t>EL-GEN-012</t>
  </si>
  <si>
    <t>Generator auto-start test</t>
  </si>
  <si>
    <t>Start/transfer within required seconds</t>
  </si>
  <si>
    <t>EL-ATS-013</t>
  </si>
  <si>
    <t>ATS transfer test</t>
  </si>
  <si>
    <t>Transfer successful; interlocks functional</t>
  </si>
  <si>
    <t>EL-SPE-014</t>
  </si>
  <si>
    <t>Surge protection device status</t>
  </si>
  <si>
    <t>SPD healthy; indicators normal</t>
  </si>
  <si>
    <t>EL-MTR-015</t>
  </si>
  <si>
    <t>Main &amp; sub-metering functionality</t>
  </si>
  <si>
    <t>Meters read correctly; logging works</t>
  </si>
  <si>
    <t>EL-LBL-016</t>
  </si>
  <si>
    <t>Panel/circuit labeling &amp; directories</t>
  </si>
  <si>
    <t>Accurate, durable, matches as-built</t>
  </si>
  <si>
    <t>EL-CLR-017</t>
  </si>
  <si>
    <t>Electrical room clearances &amp; housekeeping</t>
  </si>
  <si>
    <t>Access/clearances compliant, tidy</t>
  </si>
  <si>
    <t>EL-EXB-018</t>
  </si>
  <si>
    <t>Cable containment condition</t>
  </si>
  <si>
    <t>Trays/ladder/supports secure; no damage</t>
  </si>
  <si>
    <t>EL-FST-019</t>
  </si>
  <si>
    <t>Firestopping at penetrations (electrical)</t>
  </si>
  <si>
    <t>Seals present and intact</t>
  </si>
  <si>
    <t>EL-GND-020</t>
  </si>
  <si>
    <t>Bonding/earthing of metallic systems</t>
  </si>
  <si>
    <t>Bonds present, secure</t>
  </si>
  <si>
    <t>EL-SKT-021</t>
  </si>
  <si>
    <t>Socket polarity and earth test</t>
  </si>
  <si>
    <t>Correct polarity; earth present</t>
  </si>
  <si>
    <t>EL-EML-022</t>
  </si>
  <si>
    <t>Emergency power distribution boards</t>
  </si>
  <si>
    <t>Operational, labeled, accessible</t>
  </si>
  <si>
    <t>EL-PRF-023</t>
  </si>
  <si>
    <t>Power factor correction operation</t>
  </si>
  <si>
    <t>Stages switch correctly; no overheating</t>
  </si>
  <si>
    <t>EL-HAR-024</t>
  </si>
  <si>
    <t>Harmonics mitigation (if installed)</t>
  </si>
  <si>
    <t>Filters operational; readings within limits</t>
  </si>
  <si>
    <t>EL-BMS-025</t>
  </si>
  <si>
    <t>BMS/SCADA electrical points verification</t>
  </si>
  <si>
    <t>Points mapped; alarms/trends working</t>
  </si>
  <si>
    <t>EL-IRN-026</t>
  </si>
  <si>
    <t>IR scan report availability &amp; actions</t>
  </si>
  <si>
    <t>Report attached; actions closed</t>
  </si>
  <si>
    <t>EL-OPS-027</t>
  </si>
  <si>
    <t>Operating procedures and LOTO signage</t>
  </si>
  <si>
    <t>Procedures posted; LOTO available</t>
  </si>
  <si>
    <t>EL-SPR-028</t>
  </si>
  <si>
    <t>Spare breakers/fuses availability</t>
  </si>
  <si>
    <t>Critical spares available</t>
  </si>
  <si>
    <t>EL-TRN-029</t>
  </si>
  <si>
    <t>Electrical training records (FM)</t>
  </si>
  <si>
    <t>Training completed; attendance proof</t>
  </si>
  <si>
    <t>EL-COM-030</t>
  </si>
  <si>
    <t>As-built electrical drawings complete</t>
  </si>
  <si>
    <t>Up-to-date revisions available</t>
  </si>
  <si>
    <t>EL-TST-031</t>
  </si>
  <si>
    <t>Electrical test certificates present</t>
  </si>
  <si>
    <t>Megger/earth/RCD results filed</t>
  </si>
  <si>
    <t>EL-QA-032</t>
  </si>
  <si>
    <t>Defect log and closure evidence</t>
  </si>
  <si>
    <t>Defects tracked; verification done</t>
  </si>
  <si>
    <t>EL-SAF-033</t>
  </si>
  <si>
    <t>Safety signage &amp; PPE availability</t>
  </si>
  <si>
    <t>PPE, warnings, restricted access</t>
  </si>
  <si>
    <t>EL-ENV-034</t>
  </si>
  <si>
    <t>Room temperature/ventilation for switchgear</t>
  </si>
  <si>
    <t>Within acceptable; no overheating</t>
  </si>
  <si>
    <t>EL-RES-035</t>
  </si>
  <si>
    <t>Resilience check (single point failures)</t>
  </si>
  <si>
    <t>Redundancy verified where applicable</t>
  </si>
  <si>
    <t>ME-COP-001</t>
  </si>
  <si>
    <t>COP/EER performance spot-check</t>
  </si>
  <si>
    <t>Calculated COP/EER within expectation</t>
  </si>
  <si>
    <t>ME-TAB-002</t>
  </si>
  <si>
    <t>Airflow &amp; balance (TAB) verification</t>
  </si>
  <si>
    <t>Within ±10% of design (or criterion)</t>
  </si>
  <si>
    <t>ME-IAQ-003</t>
  </si>
  <si>
    <t>Ventilation effectiveness / CO₂ check</t>
  </si>
  <si>
    <t>CO₂ ppm within target; fresh air adequate</t>
  </si>
  <si>
    <t>ME-NV-004</t>
  </si>
  <si>
    <t>Noise &amp; vibration test (plant/occupied)</t>
  </si>
  <si>
    <t>dB(A) and mm/s within limits</t>
  </si>
  <si>
    <t>ME-CH-005</t>
  </si>
  <si>
    <t>Chiller operating stability (if any)</t>
  </si>
  <si>
    <t>Stable parameters; no abnormal alarms</t>
  </si>
  <si>
    <t>ME-CT-006</t>
  </si>
  <si>
    <t>Cooling tower condition (if any)</t>
  </si>
  <si>
    <t>Basin clean; drift eliminators OK</t>
  </si>
  <si>
    <t>ME-PU-007</t>
  </si>
  <si>
    <t>CHW/CW pump duty point check</t>
  </si>
  <si>
    <t>Flow/pressure within ±10%</t>
  </si>
  <si>
    <t>ME-AHU-008</t>
  </si>
  <si>
    <t>AHU condition (filters/coils/drain pans)</t>
  </si>
  <si>
    <t>Clean; drains functional; ΔP acceptable</t>
  </si>
  <si>
    <t>ME-FCU-009</t>
  </si>
  <si>
    <t>FCU performance &amp; condensate drainage</t>
  </si>
  <si>
    <t>No leaks; cooling adequate</t>
  </si>
  <si>
    <t>ME-DCT-010</t>
  </si>
  <si>
    <t>Ductwork condition &amp; insulation</t>
  </si>
  <si>
    <t>No damage; insulation intact; no sweating</t>
  </si>
  <si>
    <t>ME-DMP-011</t>
  </si>
  <si>
    <t>Dampers/actuators operation</t>
  </si>
  <si>
    <t>Full stroke; accessible; seals OK</t>
  </si>
  <si>
    <t>ME-VAV-012</t>
  </si>
  <si>
    <t>VAV box response &amp; calibration</t>
  </si>
  <si>
    <t>Responds; sensor accurate</t>
  </si>
  <si>
    <t>ME-DIF-013</t>
  </si>
  <si>
    <t>Diffusers/grilles cleanliness &amp; throw</t>
  </si>
  <si>
    <t>Clean; no obstruction; noise OK</t>
  </si>
  <si>
    <t>ME-CTRL-014</t>
  </si>
  <si>
    <t>Controls/BMS sequences verification</t>
  </si>
  <si>
    <t>Occupied/unoccupied tested</t>
  </si>
  <si>
    <t>ME-ALM-015</t>
  </si>
  <si>
    <t>Alarm management &amp; trending</t>
  </si>
  <si>
    <t>Trends available; alarm priorities set</t>
  </si>
  <si>
    <t>ME-REF-016</t>
  </si>
  <si>
    <t>Refrigerant leak indicators</t>
  </si>
  <si>
    <t>No leaks; log maintained</t>
  </si>
  <si>
    <t>ME-INS-017</t>
  </si>
  <si>
    <t>Pipe insulation integrity</t>
  </si>
  <si>
    <t>Vapor barrier sealed; no condensation</t>
  </si>
  <si>
    <t>ME-HYD-018</t>
  </si>
  <si>
    <t>Hydrostatic pressure test (if executed)</t>
  </si>
  <si>
    <t>Pressure/hold duration recorded; pass</t>
  </si>
  <si>
    <t>ME-LK-019</t>
  </si>
  <si>
    <t>Piping leak test</t>
  </si>
  <si>
    <t>No leaks; evidence recorded</t>
  </si>
  <si>
    <t>ME-VAL-020</t>
  </si>
  <si>
    <t>Valves &amp; isolation points labeling</t>
  </si>
  <si>
    <t>Labeled; accessible; operable</t>
  </si>
  <si>
    <t>ME-EXP-021</t>
  </si>
  <si>
    <t>Expansion tanks/air separators (if any)</t>
  </si>
  <si>
    <t>Operational; pressure OK</t>
  </si>
  <si>
    <t>ME-WTR-022</t>
  </si>
  <si>
    <t>Water treatment logs (if any)</t>
  </si>
  <si>
    <t>Logs complete; dosing OK</t>
  </si>
  <si>
    <t>ME-FAN-023</t>
  </si>
  <si>
    <t>Exhaust/ventilation fans operation</t>
  </si>
  <si>
    <t>Interlocks OK; airflow adequate</t>
  </si>
  <si>
    <t>ME-ECN-024</t>
  </si>
  <si>
    <t>Energy waste check (runtime/schedules)</t>
  </si>
  <si>
    <t>Schedules optimized; no wasted runtime</t>
  </si>
  <si>
    <t>ME-PRS-025</t>
  </si>
  <si>
    <t>Room pressurization (as required)</t>
  </si>
  <si>
    <t>Within design; doors not hard to open</t>
  </si>
  <si>
    <t>ME-FIR-026</t>
  </si>
  <si>
    <t>Fire/smoke dampers interface (mechanical)</t>
  </si>
  <si>
    <t>Accessible; tested if applicable</t>
  </si>
  <si>
    <t>ME-MNT-027</t>
  </si>
  <si>
    <t>Preventive maintenance execution</t>
  </si>
  <si>
    <t>PM checklists completed</t>
  </si>
  <si>
    <t>ME-SPR-028</t>
  </si>
  <si>
    <t>Spare parts availability (filters/belts)</t>
  </si>
  <si>
    <t>ME-ACC-029</t>
  </si>
  <si>
    <t>Maintenance access &amp; safety</t>
  </si>
  <si>
    <t>Safe access; isolation available</t>
  </si>
  <si>
    <t>ME-DOC-030</t>
  </si>
  <si>
    <t>O&amp;M manuals complete for HVAC</t>
  </si>
  <si>
    <t>Manuals, warranties, start-up sheets</t>
  </si>
  <si>
    <t>ME-TST-031</t>
  </si>
  <si>
    <t>Commissioning &amp; TAB reports complete</t>
  </si>
  <si>
    <t>Final reports attached</t>
  </si>
  <si>
    <t>ME-TRN-032</t>
  </si>
  <si>
    <t>FM training on HVAC systems</t>
  </si>
  <si>
    <t>Training records available</t>
  </si>
  <si>
    <t>ME-CLN-033</t>
  </si>
  <si>
    <t>Plantroom housekeeping</t>
  </si>
  <si>
    <t>Clean; no leaks; no trip hazards</t>
  </si>
  <si>
    <t>ME-RES-034</t>
  </si>
  <si>
    <t>Redundancy verification (if applicable)</t>
  </si>
  <si>
    <t>N+1 or standby proven</t>
  </si>
  <si>
    <t>ME-SNS-035</t>
  </si>
  <si>
    <t>Sensor calibration certificates</t>
  </si>
  <si>
    <t>Calibration within last 12 months</t>
  </si>
  <si>
    <t>PL-WP-001</t>
  </si>
  <si>
    <t>Water pressure test (top/furthest)</t>
  </si>
  <si>
    <t>≥ project minimum bar; stable</t>
  </si>
  <si>
    <t>PL-FLW-002</t>
  </si>
  <si>
    <t>Flow rate spot-check</t>
  </si>
  <si>
    <t>Meets fixture flow requirements</t>
  </si>
  <si>
    <t>PL-DF-003</t>
  </si>
  <si>
    <t>Drainage flow test</t>
  </si>
  <si>
    <t>No slow drainage/gurgling</t>
  </si>
  <si>
    <t>PL-LK-004</t>
  </si>
  <si>
    <t>Supply pipe leak test</t>
  </si>
  <si>
    <t>No leaks; dry cabinets/ceiling</t>
  </si>
  <si>
    <t>PL-SLK-005</t>
  </si>
  <si>
    <t>Sanitary leak/odor check</t>
  </si>
  <si>
    <t>No foul odors; traps sealed</t>
  </si>
  <si>
    <t>PL-TK-006</t>
  </si>
  <si>
    <t>Water tank integrity &amp; cleanliness</t>
  </si>
  <si>
    <t>No leaks; hygienic; access OK</t>
  </si>
  <si>
    <t>PL-DIS-007</t>
  </si>
  <si>
    <t>Tank disinfection evidence</t>
  </si>
  <si>
    <t>Records/certificates available</t>
  </si>
  <si>
    <t>PL-WQ-008</t>
  </si>
  <si>
    <t>Potable water quality tests (TDS/pH)</t>
  </si>
  <si>
    <t>Within limits; lab report attached</t>
  </si>
  <si>
    <t>PL-MIC-009</t>
  </si>
  <si>
    <t>Microbial test (if required)</t>
  </si>
  <si>
    <t>Lab report; compliant</t>
  </si>
  <si>
    <t>PL-HW-010</t>
  </si>
  <si>
    <t>Hot water storage temperature</t>
  </si>
  <si>
    <t>&gt;60°C at storage (or criterion)</t>
  </si>
  <si>
    <t>PL-TMV-011</t>
  </si>
  <si>
    <t>TMV calibration (if applicable)</t>
  </si>
  <si>
    <t>Setpoints correct; fail-safe OK</t>
  </si>
  <si>
    <t>PL-REC-012</t>
  </si>
  <si>
    <t>Hot water recirculation performance</t>
  </si>
  <si>
    <t>Stable outlet temperatures</t>
  </si>
  <si>
    <t>PL-VAL-013</t>
  </si>
  <si>
    <t>Isolation valves labeling &amp; access</t>
  </si>
  <si>
    <t>Labeled; operable</t>
  </si>
  <si>
    <t>PL-BFP-014</t>
  </si>
  <si>
    <t>Backflow preventer test</t>
  </si>
  <si>
    <t>Annual test evidence</t>
  </si>
  <si>
    <t>PL-PMP-015</t>
  </si>
  <si>
    <t>Booster pump duty point check</t>
  </si>
  <si>
    <t>PL-DRN-016</t>
  </si>
  <si>
    <t>Drain pumps performance (if any)</t>
  </si>
  <si>
    <t>Auto-start; alarms OK</t>
  </si>
  <si>
    <t>PL-MH-017</t>
  </si>
  <si>
    <t>Manholes condition &amp; access</t>
  </si>
  <si>
    <t>Clean; covers intact; safe access</t>
  </si>
  <si>
    <t>PL-CLN-018</t>
  </si>
  <si>
    <t>Cleanouts availability</t>
  </si>
  <si>
    <t>Accessible; not blocked</t>
  </si>
  <si>
    <t>PL-GT-019</t>
  </si>
  <si>
    <t>Grease trap condition (if any)</t>
  </si>
  <si>
    <t>Clean; baffles intact</t>
  </si>
  <si>
    <t>PL-GW-020</t>
  </si>
  <si>
    <t>Greywater treatment system test</t>
  </si>
  <si>
    <t>Operational; quality meets design</t>
  </si>
  <si>
    <t>PL-RWH-021</t>
  </si>
  <si>
    <t>Rainwater harvesting (if any)</t>
  </si>
  <si>
    <t>Operational; filtration OK</t>
  </si>
  <si>
    <t>PL-INS-022</t>
  </si>
  <si>
    <t>Complete; no sweating</t>
  </si>
  <si>
    <t>PL-PRS-023</t>
  </si>
  <si>
    <t>PRV settings &amp; stability</t>
  </si>
  <si>
    <t>Set correctly; no hunting</t>
  </si>
  <si>
    <t>PL-HMR-024</t>
  </si>
  <si>
    <t>Water hammer check</t>
  </si>
  <si>
    <t>No water hammer; arrestors if needed</t>
  </si>
  <si>
    <t>PL-MTR-025</t>
  </si>
  <si>
    <t>Water meters and logging</t>
  </si>
  <si>
    <t>Accurate; records available</t>
  </si>
  <si>
    <t>PL-LEK-026</t>
  </si>
  <si>
    <t>Leak detection system (if any)</t>
  </si>
  <si>
    <t>Sensors functional; alarms tested</t>
  </si>
  <si>
    <t>PL-FIX-027</t>
  </si>
  <si>
    <t>Fixtures operation</t>
  </si>
  <si>
    <t>No drips; WC flush ok; aerators</t>
  </si>
  <si>
    <t>PL-ACC-028</t>
  </si>
  <si>
    <t>Safe access; signage</t>
  </si>
  <si>
    <t>PL-DOC-029</t>
  </si>
  <si>
    <t>O&amp;M manuals complete (plumbing)</t>
  </si>
  <si>
    <t>Manuals/warranties/test reports</t>
  </si>
  <si>
    <t>PL-TST-030</t>
  </si>
  <si>
    <t>Pressure test certificates</t>
  </si>
  <si>
    <t>Certificates attached (if executed)</t>
  </si>
  <si>
    <t>PL-SAN-031</t>
  </si>
  <si>
    <t>Sanitary ventilation/vents</t>
  </si>
  <si>
    <t>Vents clear; no blockages</t>
  </si>
  <si>
    <t>PL-EXT-032</t>
  </si>
  <si>
    <t>External drainage performance</t>
  </si>
  <si>
    <t>No ponding; proper slopes</t>
  </si>
  <si>
    <t>PL-MOI-033</t>
  </si>
  <si>
    <t>Condensation/roof leak linkage</t>
  </si>
  <si>
    <t>Moisture mapping; causes noted</t>
  </si>
  <si>
    <t>PL-RSK-034</t>
  </si>
  <si>
    <t>Legionella risk control (if applicable)</t>
  </si>
  <si>
    <t>Controls documented</t>
  </si>
  <si>
    <t>PL-RES-035</t>
  </si>
  <si>
    <t>Resilience of water supply</t>
  </si>
  <si>
    <t>Redundancy/backup verified</t>
  </si>
  <si>
    <t>ST-VIS-001</t>
  </si>
  <si>
    <t>Visual structural survey</t>
  </si>
  <si>
    <t>No critical cracks/spalling</t>
  </si>
  <si>
    <t>ST-CRK-002</t>
  </si>
  <si>
    <t>Crack mapping &amp; measurement</t>
  </si>
  <si>
    <t>Widths recorded; trend noted</t>
  </si>
  <si>
    <t>ST-SE-003</t>
  </si>
  <si>
    <t>Settlement survey (if required)</t>
  </si>
  <si>
    <t>Benchmarks/points recorded</t>
  </si>
  <si>
    <t>ST-NDT-004</t>
  </si>
  <si>
    <t>Rebar scan / cover test (FerroScan)</t>
  </si>
  <si>
    <t>Cover meets design; locations logged</t>
  </si>
  <si>
    <t>ST-CORE-005</t>
  </si>
  <si>
    <t>Concrete core/compression test (if required)</t>
  </si>
  <si>
    <t>Lab results meet strength</t>
  </si>
  <si>
    <t>ST-CHL-006</t>
  </si>
  <si>
    <t>Carbonation/chloride test (if required)</t>
  </si>
  <si>
    <t>Results recorded; risk assessed</t>
  </si>
  <si>
    <t>ST-DEF-007</t>
  </si>
  <si>
    <t>Deflection/levelness checks</t>
  </si>
  <si>
    <t>Within tolerance</t>
  </si>
  <si>
    <t>ST-LDT-008</t>
  </si>
  <si>
    <t>Structural load test (if required)</t>
  </si>
  <si>
    <t>Test protocol &amp; results attached</t>
  </si>
  <si>
    <t>ST-VIB-009</t>
  </si>
  <si>
    <t>Structural vibration test (if required)</t>
  </si>
  <si>
    <t>Results within limits</t>
  </si>
  <si>
    <t>ST-JNT-010</t>
  </si>
  <si>
    <t>Expansion joints condition</t>
  </si>
  <si>
    <t>Intact; movement accommodated</t>
  </si>
  <si>
    <t>ST-WP-011</t>
  </si>
  <si>
    <t>Roof waterproofing test (flood)</t>
  </si>
  <si>
    <t>Duration/observations recorded</t>
  </si>
  <si>
    <t>ST-MOI-012</t>
  </si>
  <si>
    <t>Moisture intrusion assessment</t>
  </si>
  <si>
    <t>Sources identified; mapping done</t>
  </si>
  <si>
    <t>ST-FAÇ-013</t>
  </si>
  <si>
    <t>Facade anchorage visual check</t>
  </si>
  <si>
    <t>No loose panels; fixings sound</t>
  </si>
  <si>
    <t>ST-COR-014</t>
  </si>
  <si>
    <t>Rebar corrosion signs</t>
  </si>
  <si>
    <t>No exposed/rebar staining</t>
  </si>
  <si>
    <t>ST-RST-015</t>
  </si>
  <si>
    <t>Retaining walls condition (if any)</t>
  </si>
  <si>
    <t>No movement; drainage OK</t>
  </si>
  <si>
    <t>ST-SLB-016</t>
  </si>
  <si>
    <t>Slab cracks and joints</t>
  </si>
  <si>
    <t>Documented; no safety risk</t>
  </si>
  <si>
    <t>ST-COL-017</t>
  </si>
  <si>
    <t>Columns/beams condition</t>
  </si>
  <si>
    <t>No major defects</t>
  </si>
  <si>
    <t>ST-BSM-018</t>
  </si>
  <si>
    <t>Basement water ingress (if any)</t>
  </si>
  <si>
    <t>No seepage; sump ok</t>
  </si>
  <si>
    <t>ST-TRC-019</t>
  </si>
  <si>
    <t>Thermal movement check (if required)</t>
  </si>
  <si>
    <t>Observations on joints/cracks</t>
  </si>
  <si>
    <t>ST-SOI-020</t>
  </si>
  <si>
    <t>Soil reports review (if applicable)</t>
  </si>
  <si>
    <t>Bearing/proctor docs available</t>
  </si>
  <si>
    <t>ST-DOC-021</t>
  </si>
  <si>
    <t>Structural as-built drawings</t>
  </si>
  <si>
    <t>Up-to-date revision</t>
  </si>
  <si>
    <t>ST-QA-022</t>
  </si>
  <si>
    <t>Previous defect history review</t>
  </si>
  <si>
    <t>Recurring defects flagged</t>
  </si>
  <si>
    <t>ST-SAF-023</t>
  </si>
  <si>
    <t>Structural safety hazards</t>
  </si>
  <si>
    <t>None present; barricades where needed</t>
  </si>
  <si>
    <t>ST-RSK-024</t>
  </si>
  <si>
    <t>Risk classification per finding</t>
  </si>
  <si>
    <t>P1–P4 assigned</t>
  </si>
  <si>
    <t>ST-REH-025</t>
  </si>
  <si>
    <t>Repair vs replace recommendation</t>
  </si>
  <si>
    <t>For major defects where relevant</t>
  </si>
  <si>
    <t>ST-ENV-026</t>
  </si>
  <si>
    <t>Environmental exposure classification</t>
  </si>
  <si>
    <t>Coastal/industrial considerations</t>
  </si>
  <si>
    <t>ST-DRN-027</t>
  </si>
  <si>
    <t>Site drainage impact on structure</t>
  </si>
  <si>
    <t>No undermining/erosion</t>
  </si>
  <si>
    <t>ST-INS-028</t>
  </si>
  <si>
    <t>Roof insulation condition (as relates)</t>
  </si>
  <si>
    <t>Intact; no saturation</t>
  </si>
  <si>
    <t>ST-BLD-029</t>
  </si>
  <si>
    <t>Building movement monitoring plan</t>
  </si>
  <si>
    <t>If cracks/settlement exist</t>
  </si>
  <si>
    <t>ST-NDT2-030</t>
  </si>
  <si>
    <t>UPV/Rebound hammer (if required)</t>
  </si>
  <si>
    <t>Results recorded; correlated</t>
  </si>
  <si>
    <t>ST-CMP-031</t>
  </si>
  <si>
    <t>Compliance with SBC structural requirements (review)</t>
  </si>
  <si>
    <t>Checklist completed</t>
  </si>
  <si>
    <t>ST-ACC-032</t>
  </si>
  <si>
    <t>Access safety for inspection points</t>
  </si>
  <si>
    <t>Safe access or noted constraints</t>
  </si>
  <si>
    <t>ST-PHT-033</t>
  </si>
  <si>
    <t>Photo evidence &amp; location grid</t>
  </si>
  <si>
    <t>All defects referenced</t>
  </si>
  <si>
    <t>ST-SUM-034</t>
  </si>
  <si>
    <t>Structural summary conclusion</t>
  </si>
  <si>
    <t>Overall structural status</t>
  </si>
  <si>
    <t>ST-RES-035</t>
  </si>
  <si>
    <t>Structural resilience &amp; criticality</t>
  </si>
  <si>
    <t>Mission critical risks noted</t>
  </si>
  <si>
    <t>AR-WAL-001</t>
  </si>
  <si>
    <t>Internal walls/partitions condition</t>
  </si>
  <si>
    <t>No major cracks/stains; finishes intact</t>
  </si>
  <si>
    <t>AR-FLR-002</t>
  </si>
  <si>
    <t>Floor finishes condition</t>
  </si>
  <si>
    <t>No loose/hollow tiles; levelness OK</t>
  </si>
  <si>
    <t>AR-CLG-003</t>
  </si>
  <si>
    <t>Ceilings condition</t>
  </si>
  <si>
    <t>No sagging; access panels present</t>
  </si>
  <si>
    <t>AR-DRS-004</t>
  </si>
  <si>
    <t>Doors &amp; hardware operation</t>
  </si>
  <si>
    <t>Smooth; closers; seals OK</t>
  </si>
  <si>
    <t>AR-WIN-005</t>
  </si>
  <si>
    <t>Windows &amp; glazing integrity</t>
  </si>
  <si>
    <t>Seals intact; no infiltration</t>
  </si>
  <si>
    <t>AR-WET-006</t>
  </si>
  <si>
    <t>Wet areas waterproofing indicators</t>
  </si>
  <si>
    <t>No leakage; slopes to drains</t>
  </si>
  <si>
    <t>AR-PNT-007</t>
  </si>
  <si>
    <t>Paint/coatings condition</t>
  </si>
  <si>
    <t>No peeling/blistering</t>
  </si>
  <si>
    <t>AR-EXT-008</t>
  </si>
  <si>
    <t>Facade finishes condition</t>
  </si>
  <si>
    <t>No detachment; discoloration noted</t>
  </si>
  <si>
    <t>AR-RMP-009</t>
  </si>
  <si>
    <t>Accessibility ramps/handrails</t>
  </si>
  <si>
    <t>Compliant; safe</t>
  </si>
  <si>
    <t>AR-SGN-010</t>
  </si>
  <si>
    <t>Wayfinding/signage (non-fire)</t>
  </si>
  <si>
    <t>Clear, consistent</t>
  </si>
  <si>
    <t>AR-ROF-011</t>
  </si>
  <si>
    <t>Roof finishes &amp; penetrations</t>
  </si>
  <si>
    <t>Sealed; no gaps</t>
  </si>
  <si>
    <t>AR-INS-012</t>
  </si>
  <si>
    <t>Thermal insulation envelope condition</t>
  </si>
  <si>
    <t>No missing insulation visible</t>
  </si>
  <si>
    <t>AR-MOI-013</t>
  </si>
  <si>
    <t>Moisture mapping (walls/ceilings)</t>
  </si>
  <si>
    <t>No damp; if damp mapped</t>
  </si>
  <si>
    <t>AR-GLZ-014</t>
  </si>
  <si>
    <t>Sealants/caulking condition</t>
  </si>
  <si>
    <t>No gaps; elastic</t>
  </si>
  <si>
    <t>AR-PLN-015</t>
  </si>
  <si>
    <t>Plaster/gypsum board integrity</t>
  </si>
  <si>
    <t>No delamination</t>
  </si>
  <si>
    <t>AR-STP-016</t>
  </si>
  <si>
    <t>Staircases (architectural only)</t>
  </si>
  <si>
    <t>Finishes; slip resistance</t>
  </si>
  <si>
    <t>AR-HND-017</t>
  </si>
  <si>
    <t>Handrails safety (non-fire)</t>
  </si>
  <si>
    <t>Secure; no sharp edges</t>
  </si>
  <si>
    <t>AR-DRN-018</t>
  </si>
  <si>
    <t>Balcony/terrace drainage</t>
  </si>
  <si>
    <t>No ponding</t>
  </si>
  <si>
    <t>AR-JNT-019</t>
  </si>
  <si>
    <t>Expansion joint covers</t>
  </si>
  <si>
    <t>Intact; trip hazards none</t>
  </si>
  <si>
    <t>AR-FIX-020</t>
  </si>
  <si>
    <t>Fittings/fixtures in public areas</t>
  </si>
  <si>
    <t>Secure; undamaged</t>
  </si>
  <si>
    <t>AR-CLN-021</t>
  </si>
  <si>
    <t>Cleanliness condition at handover</t>
  </si>
  <si>
    <t>Snag cleanliness acceptable</t>
  </si>
  <si>
    <t>AR-GLS-022</t>
  </si>
  <si>
    <t>Glazing safety marking (if required)</t>
  </si>
  <si>
    <t>Compliant markings</t>
  </si>
  <si>
    <t>AR-ACU-023</t>
  </si>
  <si>
    <t>Acoustic issues (if applicable)</t>
  </si>
  <si>
    <t>No severe complaints; checks</t>
  </si>
  <si>
    <t>AR-LGT-024</t>
  </si>
  <si>
    <t>Daylight/visual comfort check</t>
  </si>
  <si>
    <t>No glare hotspots flagged</t>
  </si>
  <si>
    <t>AR-SEC-025</t>
  </si>
  <si>
    <t>Perimeter doors/windows security</t>
  </si>
  <si>
    <t>Locks functional</t>
  </si>
  <si>
    <t>AR-EXC-026</t>
  </si>
  <si>
    <t>External cracks in finishes</t>
  </si>
  <si>
    <t>Mapped and rated</t>
  </si>
  <si>
    <t>AR-PAT-027</t>
  </si>
  <si>
    <t>Pattern/tiling workmanship</t>
  </si>
  <si>
    <t>Uniform; grout intact</t>
  </si>
  <si>
    <t>AR-SLF-028</t>
  </si>
  <si>
    <t>Shelf-life defects (sealants etc.)</t>
  </si>
  <si>
    <t>Ageing noted</t>
  </si>
  <si>
    <t>AR-DOC-029</t>
  </si>
  <si>
    <t>Architectural as-builts complete</t>
  </si>
  <si>
    <t>AR-SUM-030</t>
  </si>
  <si>
    <t>Architectural condition summary</t>
  </si>
  <si>
    <t>Overall status</t>
  </si>
  <si>
    <t>AR-RSK-031</t>
  </si>
  <si>
    <t>P1–P4</t>
  </si>
  <si>
    <t>AR-REC-032</t>
  </si>
  <si>
    <t>Recommended corrective actions</t>
  </si>
  <si>
    <t>Actions logged</t>
  </si>
  <si>
    <t>AR-PHT-033</t>
  </si>
  <si>
    <t>Photo references for snags</t>
  </si>
  <si>
    <t>IDs used</t>
  </si>
  <si>
    <t>AR-ACC-034</t>
  </si>
  <si>
    <t>Access constraints noted</t>
  </si>
  <si>
    <t>Areas not accessible</t>
  </si>
  <si>
    <t>AR-RES-035</t>
  </si>
  <si>
    <t>Maintainability assessment</t>
  </si>
  <si>
    <t>Access panels/clearances</t>
  </si>
  <si>
    <t>EX-SLP-001</t>
  </si>
  <si>
    <t>Floor slopes &amp; drainage performance</t>
  </si>
  <si>
    <t>No ponding; slopes verified</t>
  </si>
  <si>
    <t>EX-DRN-002</t>
  </si>
  <si>
    <t>Stormwater drainage test/inspection</t>
  </si>
  <si>
    <t>Inlets clear; discharge OK</t>
  </si>
  <si>
    <t>EX-PAV-003</t>
  </si>
  <si>
    <t>Pavement stability/settlement check</t>
  </si>
  <si>
    <t>No severe rutting/cracking</t>
  </si>
  <si>
    <t>EX-MRK-004</t>
  </si>
  <si>
    <t>Markings &amp; signage</t>
  </si>
  <si>
    <t>Visible; consistent</t>
  </si>
  <si>
    <t>EX-LUX-005</t>
  </si>
  <si>
    <t>External/parking lux coverage</t>
  </si>
  <si>
    <t>Meets minimum; uniformity</t>
  </si>
  <si>
    <t>EX-GAT-006</t>
  </si>
  <si>
    <t>Entry/exit barriers operation</t>
  </si>
  <si>
    <t>Reliable; safety sensors OK</t>
  </si>
  <si>
    <t>EX-RFD-007</t>
  </si>
  <si>
    <t>RFID/access integration (if any)</t>
  </si>
  <si>
    <t>Reads properly; logs ok</t>
  </si>
  <si>
    <t>EX-CCTV-008</t>
  </si>
  <si>
    <t>CCTV coverage (parking)</t>
  </si>
  <si>
    <t>Blind spots identified/none</t>
  </si>
  <si>
    <t>EX-PRK-009</t>
  </si>
  <si>
    <t>Parking ventilation (if enclosed)</t>
  </si>
  <si>
    <t>Operational; CO monitoring if any</t>
  </si>
  <si>
    <t>EX-STR-010</t>
  </si>
  <si>
    <t>External structures (canopies)</t>
  </si>
  <si>
    <t>Secure; corrosion minimal</t>
  </si>
  <si>
    <t>EX-WLK-011</t>
  </si>
  <si>
    <t>Walkways/paving condition</t>
  </si>
  <si>
    <t>No trip hazards</t>
  </si>
  <si>
    <t>EX-ADA-012</t>
  </si>
  <si>
    <t>Accessible parking compliance</t>
  </si>
  <si>
    <t>Marked; clear</t>
  </si>
  <si>
    <t>EX-BOL-013</t>
  </si>
  <si>
    <t>Bollards/guardrails condition</t>
  </si>
  <si>
    <t>Secure; reflective</t>
  </si>
  <si>
    <t>EX-LGT-014</t>
  </si>
  <si>
    <t>Pole/fixture condition</t>
  </si>
  <si>
    <t>No corrosion; stable</t>
  </si>
  <si>
    <t>EX-POW-015</t>
  </si>
  <si>
    <t>Outdoor power points/IP rating</t>
  </si>
  <si>
    <t>Safe; weatherproof</t>
  </si>
  <si>
    <t>EX-GRD-016</t>
  </si>
  <si>
    <t>Site grading &amp; erosion</t>
  </si>
  <si>
    <t>No erosion undermining</t>
  </si>
  <si>
    <t>EX-FNC-017</t>
  </si>
  <si>
    <t>Perimeter fence/gates</t>
  </si>
  <si>
    <t>Intact; locks functional</t>
  </si>
  <si>
    <t>EX-WST-018</t>
  </si>
  <si>
    <t>Waste area condition</t>
  </si>
  <si>
    <t>Clean; access controlled</t>
  </si>
  <si>
    <t>EX-SAF-019</t>
  </si>
  <si>
    <t>General safety hazards</t>
  </si>
  <si>
    <t>No exposed edges; covers intact</t>
  </si>
  <si>
    <t>EX-DOC-020</t>
  </si>
  <si>
    <t>As-built external works drawings</t>
  </si>
  <si>
    <t>Available</t>
  </si>
  <si>
    <t>EX-SUM-021</t>
  </si>
  <si>
    <t>External works summary</t>
  </si>
  <si>
    <t>EX-RSK-022</t>
  </si>
  <si>
    <t>EX-REC-023</t>
  </si>
  <si>
    <t>Corrective actions logged</t>
  </si>
  <si>
    <t>CAPA linked</t>
  </si>
  <si>
    <t>EX-PHT-024</t>
  </si>
  <si>
    <t>Photo evidence &amp; mapping</t>
  </si>
  <si>
    <t>IDs</t>
  </si>
  <si>
    <t>EX-RES-025</t>
  </si>
  <si>
    <t>Maintainability &amp; access</t>
  </si>
  <si>
    <t>Access for cleaning/repairs</t>
  </si>
  <si>
    <t>EX-DSP-026</t>
  </si>
  <si>
    <t>Drain sump/pump (if any)</t>
  </si>
  <si>
    <t>Operational; alarms ok</t>
  </si>
  <si>
    <t>EX-CNT-027</t>
  </si>
  <si>
    <t>Parking control system (if any)</t>
  </si>
  <si>
    <t>Functional; reports ok</t>
  </si>
  <si>
    <t>EX-PAY-028</t>
  </si>
  <si>
    <t>Payment system (if any)</t>
  </si>
  <si>
    <t>Functional; reconciliation ok</t>
  </si>
  <si>
    <t>EX-TRF-029</t>
  </si>
  <si>
    <t>Traffic flow &amp; signage</t>
  </si>
  <si>
    <t>Clear; no conflict</t>
  </si>
  <si>
    <t>EX-PRT-030</t>
  </si>
  <si>
    <t>Protective coatings (steelwork)</t>
  </si>
  <si>
    <t>No peeling; touch-up needed</t>
  </si>
  <si>
    <t>EX-LND-031</t>
  </si>
  <si>
    <t>Interface with landscape drainage</t>
  </si>
  <si>
    <t>No conflicts</t>
  </si>
  <si>
    <t>EX-LUX2-032</t>
  </si>
  <si>
    <t>Emergency route lighting (non-fire)</t>
  </si>
  <si>
    <t>Adequate for safe egress</t>
  </si>
  <si>
    <t>EX-ENV-033</t>
  </si>
  <si>
    <t>Environmental compliance (wastewater)</t>
  </si>
  <si>
    <t>No discharge issues</t>
  </si>
  <si>
    <t>EX-ACC-034</t>
  </si>
  <si>
    <t>Access constraints</t>
  </si>
  <si>
    <t>Noted</t>
  </si>
  <si>
    <t>EX-KPI-035</t>
  </si>
  <si>
    <t>Service provider performance on externals</t>
  </si>
  <si>
    <t>Quality/response</t>
  </si>
  <si>
    <t>LA-IRR-001</t>
  </si>
  <si>
    <t>Irrigation flow/pressure</t>
  </si>
  <si>
    <t>Within design; no leaks</t>
  </si>
  <si>
    <t>LA-COV-002</t>
  </si>
  <si>
    <t>Irrigation coverage uniformity</t>
  </si>
  <si>
    <t>No dry patches; coverage adequate</t>
  </si>
  <si>
    <t>LA-VLV-003</t>
  </si>
  <si>
    <t>Irrigation valves/controllers</t>
  </si>
  <si>
    <t>Operational; schedules set</t>
  </si>
  <si>
    <t>LA-SOI-004</t>
  </si>
  <si>
    <t>Soil pH/salinity/fertility (if tested)</t>
  </si>
  <si>
    <t>Within target range</t>
  </si>
  <si>
    <t>LA-PLT-005</t>
  </si>
  <si>
    <t>Plant health assessment</t>
  </si>
  <si>
    <t>No major pests/disease</t>
  </si>
  <si>
    <t>LA-PST-006</t>
  </si>
  <si>
    <t>Pest control effectiveness</t>
  </si>
  <si>
    <t>Evidence/logs available</t>
  </si>
  <si>
    <t>LA-DRN-007</t>
  </si>
  <si>
    <t>Landscape drainage</t>
  </si>
  <si>
    <t>LA-PTH-008</t>
  </si>
  <si>
    <t>Paths/hardscape condition</t>
  </si>
  <si>
    <t>Stable; no trip hazards</t>
  </si>
  <si>
    <t>LA-EDG-009</t>
  </si>
  <si>
    <t>Edging/borders condition</t>
  </si>
  <si>
    <t>Intact</t>
  </si>
  <si>
    <t>LA-LUX-010</t>
  </si>
  <si>
    <t>Landscape lighting coverage</t>
  </si>
  <si>
    <t>Adequate; no dark zones</t>
  </si>
  <si>
    <t>LA-LMP-011</t>
  </si>
  <si>
    <t>Light fixtures condition</t>
  </si>
  <si>
    <t>Weatherproof; clean</t>
  </si>
  <si>
    <t>LA-WTR-012</t>
  </si>
  <si>
    <t>Watering schedule efficiency</t>
  </si>
  <si>
    <t>No overwatering; optimized</t>
  </si>
  <si>
    <t>LA-ENV-013</t>
  </si>
  <si>
    <t>Environmental compliance (fertilizers)</t>
  </si>
  <si>
    <t>Proper storage/use</t>
  </si>
  <si>
    <t>LA-DOC-014</t>
  </si>
  <si>
    <t>Landscape as-built/irrigation plans</t>
  </si>
  <si>
    <t>LA-SUM-015</t>
  </si>
  <si>
    <t>Landscape summary</t>
  </si>
  <si>
    <t>LA-RSK-016</t>
  </si>
  <si>
    <t>LA-REC-017</t>
  </si>
  <si>
    <t>LA-PHT-018</t>
  </si>
  <si>
    <t>Photo evidence</t>
  </si>
  <si>
    <t>LA-ACC-019</t>
  </si>
  <si>
    <t>LA-ESG-020</t>
  </si>
  <si>
    <t>ESG/Water conservation alignment</t>
  </si>
  <si>
    <t>Practices reviewed</t>
  </si>
  <si>
    <t>LA-QLT-021</t>
  </si>
  <si>
    <t>Service quality (contractor)</t>
  </si>
  <si>
    <t>Performance rating</t>
  </si>
  <si>
    <t>LA-IRR2-022</t>
  </si>
  <si>
    <t>Irrigation leak test</t>
  </si>
  <si>
    <t>No hidden leaks</t>
  </si>
  <si>
    <t>LA-MTR-023</t>
  </si>
  <si>
    <t>Irrigation sub-metering</t>
  </si>
  <si>
    <t>Reads/logs</t>
  </si>
  <si>
    <t>LA-TRE-024</t>
  </si>
  <si>
    <t>Tree support/stability</t>
  </si>
  <si>
    <t>Safe; no hazards</t>
  </si>
  <si>
    <t>LA-MUL-025</t>
  </si>
  <si>
    <t>Mulch/ground cover condition</t>
  </si>
  <si>
    <t>Adequate</t>
  </si>
  <si>
    <t>LA-WST-026</t>
  </si>
  <si>
    <t>Green waste handling</t>
  </si>
  <si>
    <t>Proper disposal</t>
  </si>
  <si>
    <t>LA-DRP-027</t>
  </si>
  <si>
    <t>Drip lines condition</t>
  </si>
  <si>
    <t>No clogging</t>
  </si>
  <si>
    <t>LA-SPR-028</t>
  </si>
  <si>
    <t>Sprinkler heads condition</t>
  </si>
  <si>
    <t>Aligned; not broken</t>
  </si>
  <si>
    <t>LA-PRN-029</t>
  </si>
  <si>
    <t>Pruning status</t>
  </si>
  <si>
    <t>Good</t>
  </si>
  <si>
    <t>LA-INV-030</t>
  </si>
  <si>
    <t>Inventory list (species/qty)</t>
  </si>
  <si>
    <t>Documented</t>
  </si>
  <si>
    <t>LA-PRT-031</t>
  </si>
  <si>
    <t>Protection measures</t>
  </si>
  <si>
    <t>Guards/fencing for plants</t>
  </si>
  <si>
    <t>LA-STD-032</t>
  </si>
  <si>
    <t>Standards compliance (municipal)</t>
  </si>
  <si>
    <t>Checklist</t>
  </si>
  <si>
    <t>LA-HSE-033</t>
  </si>
  <si>
    <t>Safety hazards</t>
  </si>
  <si>
    <t>None</t>
  </si>
  <si>
    <t>LA-RES-034</t>
  </si>
  <si>
    <t>Maintainability</t>
  </si>
  <si>
    <t>Access for upkeep</t>
  </si>
  <si>
    <t>LA-KPI-035</t>
  </si>
  <si>
    <t>SLA adherence</t>
  </si>
  <si>
    <t>Response/quality</t>
  </si>
  <si>
    <t>PO-WQ-001</t>
  </si>
  <si>
    <t>Water quality test (chlorine/pH)</t>
  </si>
  <si>
    <t>Within safe range</t>
  </si>
  <si>
    <t>PO-BAC-002</t>
  </si>
  <si>
    <t>Bacteria/microbial test (if required)</t>
  </si>
  <si>
    <t>Lab compliant</t>
  </si>
  <si>
    <t>PO-LK-003</t>
  </si>
  <si>
    <t>Pool leakage test</t>
  </si>
  <si>
    <t>No leakage detected</t>
  </si>
  <si>
    <t>PO-FLT-004</t>
  </si>
  <si>
    <t>Filtration system performance</t>
  </si>
  <si>
    <t>Pressure differential acceptable</t>
  </si>
  <si>
    <t>PO-PMP-005</t>
  </si>
  <si>
    <t>Pump duty point</t>
  </si>
  <si>
    <t>Within ±10% of curve</t>
  </si>
  <si>
    <t>PO-HTR-006</t>
  </si>
  <si>
    <t>Temperature control performance</t>
  </si>
  <si>
    <t>Stable; controls working</t>
  </si>
  <si>
    <t>PO-SAF-007</t>
  </si>
  <si>
    <t>Safety equipment availability</t>
  </si>
  <si>
    <t>Rescue kits present</t>
  </si>
  <si>
    <t>PO-LUX-008</t>
  </si>
  <si>
    <t>Pool lighting/night safety</t>
  </si>
  <si>
    <t>Adequate; IP rating</t>
  </si>
  <si>
    <t>PO-DRN-009</t>
  </si>
  <si>
    <t>Backwash/drainage handling</t>
  </si>
  <si>
    <t>Proper discharge</t>
  </si>
  <si>
    <t>PO-DOC-010</t>
  </si>
  <si>
    <t>O&amp;M manuals &amp; chemical logs</t>
  </si>
  <si>
    <t>Complete</t>
  </si>
  <si>
    <t>PO-REC-011</t>
  </si>
  <si>
    <t>PO-RSK-012</t>
  </si>
  <si>
    <t>Risk classification</t>
  </si>
  <si>
    <t>PO-PHT-013</t>
  </si>
  <si>
    <t>PO-ACC-014</t>
  </si>
  <si>
    <t>Access safety (slips)</t>
  </si>
  <si>
    <t>Non-slip surfaces</t>
  </si>
  <si>
    <t>PO-CHM-015</t>
  </si>
  <si>
    <t>Chemical storage compliance</t>
  </si>
  <si>
    <t>Safe; ventilated</t>
  </si>
  <si>
    <t>PO-ALM-016</t>
  </si>
  <si>
    <t>Alarms/interlocks (if any)</t>
  </si>
  <si>
    <t>Functional</t>
  </si>
  <si>
    <t>PO-CLN-017</t>
  </si>
  <si>
    <t>Pool cleanliness</t>
  </si>
  <si>
    <t>PO-KPI-018</t>
  </si>
  <si>
    <t>Service provider performance</t>
  </si>
  <si>
    <t>SLA met</t>
  </si>
  <si>
    <t>PO-INS-019</t>
  </si>
  <si>
    <t>Pool structure/tiles</t>
  </si>
  <si>
    <t>No cracks/loose tiles</t>
  </si>
  <si>
    <t>PO-SKD-020</t>
  </si>
  <si>
    <t>Maintenance schedule compliance</t>
  </si>
  <si>
    <t>PM completed</t>
  </si>
  <si>
    <t>PO-WTR-021</t>
  </si>
  <si>
    <t>Make-up water and metering</t>
  </si>
  <si>
    <t>PO-FNC-022</t>
  </si>
  <si>
    <t>Perimeter safety barriers</t>
  </si>
  <si>
    <t>Compliant</t>
  </si>
  <si>
    <t>PO-SGN-023</t>
  </si>
  <si>
    <t>User signage (rules)</t>
  </si>
  <si>
    <t>Clear</t>
  </si>
  <si>
    <t>PO-SUM-024</t>
  </si>
  <si>
    <t>Pool summary</t>
  </si>
  <si>
    <t>PO-RES-025</t>
  </si>
  <si>
    <t>Resilience/backup (if any)</t>
  </si>
  <si>
    <t>PO-ENV-026</t>
  </si>
  <si>
    <t>Environmental compliance</t>
  </si>
  <si>
    <t>Waste handling OK</t>
  </si>
  <si>
    <t>PO-PRF-027</t>
  </si>
  <si>
    <t>Energy efficiency (pumps/heaters)</t>
  </si>
  <si>
    <t>Optimization opportunities</t>
  </si>
  <si>
    <t>PO-IAQ-028</t>
  </si>
  <si>
    <t>Indoor pool ventilation (if any)</t>
  </si>
  <si>
    <t>PO-DRS-029</t>
  </si>
  <si>
    <t>Drain covers safety</t>
  </si>
  <si>
    <t>Secure</t>
  </si>
  <si>
    <t>PO-TRN-030</t>
  </si>
  <si>
    <t>FM training on pool systems</t>
  </si>
  <si>
    <t>Evidence</t>
  </si>
  <si>
    <t>PO-TST-031</t>
  </si>
  <si>
    <t>Test certificates present</t>
  </si>
  <si>
    <t>Attached</t>
  </si>
  <si>
    <t>PO-EXT-032</t>
  </si>
  <si>
    <t>Water features pumps/nozzles</t>
  </si>
  <si>
    <t>Operational</t>
  </si>
  <si>
    <t>PO-LND-033</t>
  </si>
  <si>
    <t>Integration with landscape drainage</t>
  </si>
  <si>
    <t>No issues</t>
  </si>
  <si>
    <t>PO-HSE-034</t>
  </si>
  <si>
    <t>HSE hazards &amp; controls</t>
  </si>
  <si>
    <t>OK</t>
  </si>
  <si>
    <t>PO-KPI-035</t>
  </si>
  <si>
    <t>Monthly performance reporting</t>
  </si>
  <si>
    <t>SE-CCTV-001</t>
  </si>
  <si>
    <t>CCTV field of view verification</t>
  </si>
  <si>
    <t>Coverage adequate; blind spots logged</t>
  </si>
  <si>
    <t>SE-REC-002</t>
  </si>
  <si>
    <t>Recording retention &amp; playback</t>
  </si>
  <si>
    <t>Meets policy; playback OK</t>
  </si>
  <si>
    <t>SE-AC-003</t>
  </si>
  <si>
    <t>Access control system test</t>
  </si>
  <si>
    <t>Readers/doors function; logs OK</t>
  </si>
  <si>
    <t>SE-INT-004</t>
  </si>
  <si>
    <t>Intercom/emergency call test</t>
  </si>
  <si>
    <t>Clear audio; response confirmed</t>
  </si>
  <si>
    <t>SE-IDS-005</t>
  </si>
  <si>
    <t>Intrusion/motion detection test</t>
  </si>
  <si>
    <t>Sensors trigger alarms</t>
  </si>
  <si>
    <t>SE-CTR-006</t>
  </si>
  <si>
    <t>Control room operations</t>
  </si>
  <si>
    <t>Procedures/logs present</t>
  </si>
  <si>
    <t>SE-LOG-007</t>
  </si>
  <si>
    <t>Incident reporting quality</t>
  </si>
  <si>
    <t>Records complete</t>
  </si>
  <si>
    <t>SE-GRD-008</t>
  </si>
  <si>
    <t>Guard deployment adequacy</t>
  </si>
  <si>
    <t>Coverage meets plan</t>
  </si>
  <si>
    <t>SE-TRN-009</t>
  </si>
  <si>
    <t>Security staff training</t>
  </si>
  <si>
    <t>Records available</t>
  </si>
  <si>
    <t>SE-SGN-010</t>
  </si>
  <si>
    <t>Safety signage (general)</t>
  </si>
  <si>
    <t>Adequate; visible</t>
  </si>
  <si>
    <t>SE-HSE-011</t>
  </si>
  <si>
    <t>HSE hazards in common areas</t>
  </si>
  <si>
    <t>No hazards; controls</t>
  </si>
  <si>
    <t>SE-EMG-012</t>
  </si>
  <si>
    <t>Emergency contact lists &amp; comms</t>
  </si>
  <si>
    <t>Up-to-date</t>
  </si>
  <si>
    <t>SE-PER-013</t>
  </si>
  <si>
    <t>Perimeter security (fences/gates)</t>
  </si>
  <si>
    <t>Intact; controlled</t>
  </si>
  <si>
    <t>SE-LGT-014</t>
  </si>
  <si>
    <t>Security lighting adequacy</t>
  </si>
  <si>
    <t>No dark areas</t>
  </si>
  <si>
    <t>SE-KEY-015</t>
  </si>
  <si>
    <t>Key management system</t>
  </si>
  <si>
    <t>Controlled; logs</t>
  </si>
  <si>
    <t>SE-VIS-016</t>
  </si>
  <si>
    <t>Visitor management process</t>
  </si>
  <si>
    <t>Registers; badges</t>
  </si>
  <si>
    <t>SE-CAM-017</t>
  </si>
  <si>
    <t>Camera health monitoring</t>
  </si>
  <si>
    <t>Fault alerts configured</t>
  </si>
  <si>
    <t>SE-NET-018</t>
  </si>
  <si>
    <t>Security network segregation</t>
  </si>
  <si>
    <t>As designed</t>
  </si>
  <si>
    <t>SE-DOC-019</t>
  </si>
  <si>
    <t>Security SOPs available</t>
  </si>
  <si>
    <t>Approved versions</t>
  </si>
  <si>
    <t>SE-RES-020</t>
  </si>
  <si>
    <t>Resilience/backup (UPS for security)</t>
  </si>
  <si>
    <t>SE-PRV-021</t>
  </si>
  <si>
    <t>Privacy compliance (if required)</t>
  </si>
  <si>
    <t>Signage/policy present</t>
  </si>
  <si>
    <t>SE-ACC-022</t>
  </si>
  <si>
    <t>Access rights review</t>
  </si>
  <si>
    <t>Least privilege</t>
  </si>
  <si>
    <t>SE-ALM-023</t>
  </si>
  <si>
    <t>Alarm escalation workflow</t>
  </si>
  <si>
    <t>SE-MNT-024</t>
  </si>
  <si>
    <t>PM compliance for security systems</t>
  </si>
  <si>
    <t>Completed</t>
  </si>
  <si>
    <t>SE-KPI-025</t>
  </si>
  <si>
    <t>Security contractor KPIs</t>
  </si>
  <si>
    <t>Met / gaps</t>
  </si>
  <si>
    <t>SE-EXT-026</t>
  </si>
  <si>
    <t>External camera coverage (parking/perimeter)</t>
  </si>
  <si>
    <t>SE-PTZ-027</t>
  </si>
  <si>
    <t>PTZ control responsiveness</t>
  </si>
  <si>
    <t>SE-RET-028</t>
  </si>
  <si>
    <t>Retention storage capacity</t>
  </si>
  <si>
    <t>Sufficient</t>
  </si>
  <si>
    <t>SE-AUD-029</t>
  </si>
  <si>
    <t>Audit trail availability</t>
  </si>
  <si>
    <t>Accessible</t>
  </si>
  <si>
    <t>SE-RSK-030</t>
  </si>
  <si>
    <t>SE-REC2-031</t>
  </si>
  <si>
    <t>SE-PHT-032</t>
  </si>
  <si>
    <t>Photo evidence (if needed)</t>
  </si>
  <si>
    <t>SE-SUM-033</t>
  </si>
  <si>
    <t>Security summary</t>
  </si>
  <si>
    <t>SE-HRD-034</t>
  </si>
  <si>
    <t>Hardware condition (racks/cabinets)</t>
  </si>
  <si>
    <t>SE-KPI2-035</t>
  </si>
  <si>
    <t>Monthly reporting quality</t>
  </si>
  <si>
    <t>DG-LAN-001</t>
  </si>
  <si>
    <t>LAN speed test (wired)</t>
  </si>
  <si>
    <t>Meets target Mbps/latency</t>
  </si>
  <si>
    <t>DG-WIF-002</t>
  </si>
  <si>
    <t>Wi‑Fi coverage &amp; speed test</t>
  </si>
  <si>
    <t>Meets target; dead zones logged</t>
  </si>
  <si>
    <t>DG-SWT-003</t>
  </si>
  <si>
    <t>Network switches health</t>
  </si>
  <si>
    <t>No errors; labeled</t>
  </si>
  <si>
    <t>DG-RCK-004</t>
  </si>
  <si>
    <t>Racks/cabling management</t>
  </si>
  <si>
    <t>Neat; labeled; grounded</t>
  </si>
  <si>
    <t>DG-PWR-005</t>
  </si>
  <si>
    <t>UPS for ICT equipment</t>
  </si>
  <si>
    <t>Autonomy meets requirement</t>
  </si>
  <si>
    <t>DG-PA-006</t>
  </si>
  <si>
    <t>PA/audio clarity test</t>
  </si>
  <si>
    <t>Intelligibility acceptable</t>
  </si>
  <si>
    <t>DG-BMS-007</t>
  </si>
  <si>
    <t>BMS functional test (non-fire)</t>
  </si>
  <si>
    <t>Sequences, trends, alarms OK</t>
  </si>
  <si>
    <t>DG-INT-008</t>
  </si>
  <si>
    <t>System integration response test</t>
  </si>
  <si>
    <t>Event triggers as expected</t>
  </si>
  <si>
    <t>DG-SEC-009</t>
  </si>
  <si>
    <t>Basic cybersecurity controls review</t>
  </si>
  <si>
    <t>Hardening baseline checked</t>
  </si>
  <si>
    <t>DG-PEN-010</t>
  </si>
  <si>
    <t>Cyber penetration test (if required)</t>
  </si>
  <si>
    <t>Specialist report attached</t>
  </si>
  <si>
    <t>DG-ERP-011</t>
  </si>
  <si>
    <t>CAFM/ERP integration compatibility</t>
  </si>
  <si>
    <t>Interfaces verified</t>
  </si>
  <si>
    <t>DG-DATA-012</t>
  </si>
  <si>
    <t>Asset data quality check</t>
  </si>
  <si>
    <t>Completeness/accuracy assessed</t>
  </si>
  <si>
    <t>DG-BCK-013</t>
  </si>
  <si>
    <t>Backup &amp; recovery test</t>
  </si>
  <si>
    <t>Restore spot-check successful</t>
  </si>
  <si>
    <t>DG-ACC-014</t>
  </si>
  <si>
    <t>User access roles review</t>
  </si>
  <si>
    <t>DG-LOG-015</t>
  </si>
  <si>
    <t>Logging &amp; monitoring</t>
  </si>
  <si>
    <t>Alerts configured</t>
  </si>
  <si>
    <t>DG-LIC-016</t>
  </si>
  <si>
    <t>Software licenses &amp; renewals</t>
  </si>
  <si>
    <t>Valid</t>
  </si>
  <si>
    <t>DG-DOC-017</t>
  </si>
  <si>
    <t>ICT as-builts &amp; schematics</t>
  </si>
  <si>
    <t>DG-MNT-018</t>
  </si>
  <si>
    <t>PM compliance for ICT systems</t>
  </si>
  <si>
    <t>DG-KPI-019</t>
  </si>
  <si>
    <t>DG-IO-020</t>
  </si>
  <si>
    <t>Interoperability protocols (BACnet/Modbus)</t>
  </si>
  <si>
    <t>Verified where applicable</t>
  </si>
  <si>
    <t>DG-AP-021</t>
  </si>
  <si>
    <t>Access points placement check</t>
  </si>
  <si>
    <t>Optimized</t>
  </si>
  <si>
    <t>DG-EMG-022</t>
  </si>
  <si>
    <t>Emergency communications (non-fire)</t>
  </si>
  <si>
    <t>DG-CLN-023</t>
  </si>
  <si>
    <t>Server room environmental conditions</t>
  </si>
  <si>
    <t>Temp/humidity OK</t>
  </si>
  <si>
    <t>DG-EMI-024</t>
  </si>
  <si>
    <t>EMI/grounding practices</t>
  </si>
  <si>
    <t>DG-PAT-025</t>
  </si>
  <si>
    <t>Patch management status</t>
  </si>
  <si>
    <t>Updated</t>
  </si>
  <si>
    <t>DG-AV-026</t>
  </si>
  <si>
    <t>Endpoint protection</t>
  </si>
  <si>
    <t>Enabled</t>
  </si>
  <si>
    <t>DG-PRV-027</t>
  </si>
  <si>
    <t>Data privacy compliance</t>
  </si>
  <si>
    <t>Policy present</t>
  </si>
  <si>
    <t>DG-TRN-028</t>
  </si>
  <si>
    <t>FM/IT training records</t>
  </si>
  <si>
    <t>DG-RSK-029</t>
  </si>
  <si>
    <t>DG-REC-030</t>
  </si>
  <si>
    <t>DG-PHT-031</t>
  </si>
  <si>
    <t>Evidence references</t>
  </si>
  <si>
    <t>DG-SUM-032</t>
  </si>
  <si>
    <t>Digital systems summary</t>
  </si>
  <si>
    <t>DG-RES-033</t>
  </si>
  <si>
    <t>Resilience (redundant links)</t>
  </si>
  <si>
    <t>DG-HLP-034</t>
  </si>
  <si>
    <t>Helpdesk/ticketing performance</t>
  </si>
  <si>
    <t>Metrics available</t>
  </si>
  <si>
    <t>DG-OPS-035</t>
  </si>
  <si>
    <t>Operating procedures</t>
  </si>
  <si>
    <t>SU-EN-001</t>
  </si>
  <si>
    <t>Energy audit readiness (ISO 50001 aligned)</t>
  </si>
  <si>
    <t>Baseline established</t>
  </si>
  <si>
    <t>SU-LP-002</t>
  </si>
  <si>
    <t>Load profiling analysis</t>
  </si>
  <si>
    <t>Peak/off-peak patterns known</t>
  </si>
  <si>
    <t>SU-LOSS-003</t>
  </si>
  <si>
    <t>Energy leakage/loss assessment</t>
  </si>
  <si>
    <t>Loss points identified</t>
  </si>
  <si>
    <t>SU-IAQ-004</t>
  </si>
  <si>
    <t>Indoor air quality test (CO₂/PM/VOC)</t>
  </si>
  <si>
    <t>Within target</t>
  </si>
  <si>
    <t>SU-TH-005</t>
  </si>
  <si>
    <t>Thermal enclosure assessment</t>
  </si>
  <si>
    <t>Insulation/bridges reviewed</t>
  </si>
  <si>
    <t>SU-WA-006</t>
  </si>
  <si>
    <t>Water conservation assessment</t>
  </si>
  <si>
    <t>Savings opportunities</t>
  </si>
  <si>
    <t>SU-LEED-007</t>
  </si>
  <si>
    <t>Green certification readiness (optional)</t>
  </si>
  <si>
    <t>Gap assessment</t>
  </si>
  <si>
    <t>SU-MTR-008</t>
  </si>
  <si>
    <t>Energy/water metering completeness</t>
  </si>
  <si>
    <t>Submetering adequate</t>
  </si>
  <si>
    <t>SU-KPI-009</t>
  </si>
  <si>
    <t>Sustainability KPIs reporting</t>
  </si>
  <si>
    <t>SU-WST-010</t>
  </si>
  <si>
    <t>Waste handling compliance (non-fire)</t>
  </si>
  <si>
    <t>Segregation and logs</t>
  </si>
  <si>
    <t>SU-EMS-011</t>
  </si>
  <si>
    <t>Environmental management practices</t>
  </si>
  <si>
    <t>Controls in place</t>
  </si>
  <si>
    <t>SU-NM-012</t>
  </si>
  <si>
    <t>Noise mapping (if required)</t>
  </si>
  <si>
    <t>SU-LGT-013</t>
  </si>
  <si>
    <t>Lighting energy efficiency</t>
  </si>
  <si>
    <t>LED/controls optimized</t>
  </si>
  <si>
    <t>SU-HVAC-014</t>
  </si>
  <si>
    <t>HVAC energy optimization review</t>
  </si>
  <si>
    <t>Schedules/setpoints</t>
  </si>
  <si>
    <t>SU-PMP-015</t>
  </si>
  <si>
    <t>Pump efficiency review</t>
  </si>
  <si>
    <t>VFD/curve match</t>
  </si>
  <si>
    <t>SU-CLM-016</t>
  </si>
  <si>
    <t>Climate resilience considerations</t>
  </si>
  <si>
    <t>Heat load management</t>
  </si>
  <si>
    <t>SU-DOC-017</t>
  </si>
  <si>
    <t>Sustainability documentation</t>
  </si>
  <si>
    <t>Reports and records</t>
  </si>
  <si>
    <t>SU-TRN-018</t>
  </si>
  <si>
    <t>Staff awareness/training</t>
  </si>
  <si>
    <t>Records</t>
  </si>
  <si>
    <t>SU-RSK-019</t>
  </si>
  <si>
    <t>SU-REC-020</t>
  </si>
  <si>
    <t>SU-SUM-021</t>
  </si>
  <si>
    <t>Sustainability summary</t>
  </si>
  <si>
    <t>SU-ESG-022</t>
  </si>
  <si>
    <t>ESG readiness review</t>
  </si>
  <si>
    <t>Reporting readiness</t>
  </si>
  <si>
    <t>SU-CAR-023</t>
  </si>
  <si>
    <t>Carbon footprint tracking (optional)</t>
  </si>
  <si>
    <t>Baseline data</t>
  </si>
  <si>
    <t>SU-WTR-024</t>
  </si>
  <si>
    <t>Water quality &amp; reuse strategy</t>
  </si>
  <si>
    <t>Plans</t>
  </si>
  <si>
    <t>SU-SMR-025</t>
  </si>
  <si>
    <t>Smart controls utilization</t>
  </si>
  <si>
    <t>BMS analytics</t>
  </si>
  <si>
    <t>SU-PRC-026</t>
  </si>
  <si>
    <t>Procurement sustainability criteria</t>
  </si>
  <si>
    <t>Applied</t>
  </si>
  <si>
    <t>SU-MNT-027</t>
  </si>
  <si>
    <t>Maintenance sustainability</t>
  </si>
  <si>
    <t>PM reduces waste</t>
  </si>
  <si>
    <t>SU-INS-028</t>
  </si>
  <si>
    <t>Envelope infiltration check</t>
  </si>
  <si>
    <t>Air leakage review</t>
  </si>
  <si>
    <t>SU-DRP-029</t>
  </si>
  <si>
    <t>Demand response readiness</t>
  </si>
  <si>
    <t>Load shedding strategies</t>
  </si>
  <si>
    <t>SU-BEN-030</t>
  </si>
  <si>
    <t>Benefits realization plan</t>
  </si>
  <si>
    <t>Quantified</t>
  </si>
  <si>
    <t>SU-LCC-031</t>
  </si>
  <si>
    <t>Life cycle costing input availability</t>
  </si>
  <si>
    <t>Capex/opex</t>
  </si>
  <si>
    <t>SU-AUD-032</t>
  </si>
  <si>
    <t>Audit trail quality</t>
  </si>
  <si>
    <t>SU-ACC-033</t>
  </si>
  <si>
    <t>Data completeness for audits</t>
  </si>
  <si>
    <t>Quality</t>
  </si>
  <si>
    <t>SU-KPI2-034</t>
  </si>
  <si>
    <t>Monthly KPI trend</t>
  </si>
  <si>
    <t>Tracked</t>
  </si>
  <si>
    <t>SU-IMP-035</t>
  </si>
  <si>
    <t>Improvement roadmap</t>
  </si>
  <si>
    <t>Defined</t>
  </si>
  <si>
    <t>CO-DOC-001</t>
  </si>
  <si>
    <t>As-built drawings completeness</t>
  </si>
  <si>
    <t>Arch/Str/MEP present</t>
  </si>
  <si>
    <t>CO-OM-002</t>
  </si>
  <si>
    <t>O&amp;M manuals completeness</t>
  </si>
  <si>
    <t>Per system; indexed</t>
  </si>
  <si>
    <t>CO-WAR-003</t>
  </si>
  <si>
    <t>Warranties &amp; guarantees</t>
  </si>
  <si>
    <t>Valid; start dates defined</t>
  </si>
  <si>
    <t>CO-TST-004</t>
  </si>
  <si>
    <t>Test reports availability</t>
  </si>
  <si>
    <t>Electrical/mechanical/plumbing</t>
  </si>
  <si>
    <t>CO-COM-005</t>
  </si>
  <si>
    <t>Commissioning documentation</t>
  </si>
  <si>
    <t>Final, signed</t>
  </si>
  <si>
    <t>CO-INS-006</t>
  </si>
  <si>
    <t>Inspection records &amp; logs</t>
  </si>
  <si>
    <t>CO-SBC-007</t>
  </si>
  <si>
    <t>SBC compliance review (relevant sections)</t>
  </si>
  <si>
    <t>CO-ZON-008</t>
  </si>
  <si>
    <t>Zoning/as-built compliance</t>
  </si>
  <si>
    <t>No major variances</t>
  </si>
  <si>
    <t>CO-MUN-009</t>
  </si>
  <si>
    <t>Municipality permits verification</t>
  </si>
  <si>
    <t>Valid where applicable</t>
  </si>
  <si>
    <t>CO-EXPRO-010</t>
  </si>
  <si>
    <t>Mapped deliverables</t>
  </si>
  <si>
    <t>CO-SLA-011</t>
  </si>
  <si>
    <t>Contracts/SLA/LOA documentation</t>
  </si>
  <si>
    <t>Current; measurable</t>
  </si>
  <si>
    <t>CO-TRN-012</t>
  </si>
  <si>
    <t>Training records completeness</t>
  </si>
  <si>
    <t>FM team trained</t>
  </si>
  <si>
    <t>CO-SPR-013</t>
  </si>
  <si>
    <t>Spare parts lists &amp; inventory</t>
  </si>
  <si>
    <t>Delivered and verified</t>
  </si>
  <si>
    <t>CO-AST-014</t>
  </si>
  <si>
    <t>Asset register readiness</t>
  </si>
  <si>
    <t>IDs, attributes complete</t>
  </si>
  <si>
    <t>CO-CMMS-015</t>
  </si>
  <si>
    <t>CAFM/CMMS setup readiness</t>
  </si>
  <si>
    <t>Configured</t>
  </si>
  <si>
    <t>CO-DQ-016</t>
  </si>
  <si>
    <t>Asset data quality assessment</t>
  </si>
  <si>
    <t>Accuracy/completeness</t>
  </si>
  <si>
    <t>CO-QA-017</t>
  </si>
  <si>
    <t>Quality audit trail</t>
  </si>
  <si>
    <t>Signatures/version control</t>
  </si>
  <si>
    <t>CO-RSK-018</t>
  </si>
  <si>
    <t>Risk register availability</t>
  </si>
  <si>
    <t>Open risks logged</t>
  </si>
  <si>
    <t>CO-BCM-019</t>
  </si>
  <si>
    <t>BCM/continuity plans (non-fire)</t>
  </si>
  <si>
    <t>Plans available</t>
  </si>
  <si>
    <t>CO-ENV-020</t>
  </si>
  <si>
    <t>Environmental compliance docs</t>
  </si>
  <si>
    <t>Waste/water</t>
  </si>
  <si>
    <t>CO-SEC-021</t>
  </si>
  <si>
    <t>Information security policies (if applicable)</t>
  </si>
  <si>
    <t>In place</t>
  </si>
  <si>
    <t>CO-HSE-022</t>
  </si>
  <si>
    <t>HSE documentation (general)</t>
  </si>
  <si>
    <t>Training/records</t>
  </si>
  <si>
    <t>CO-CHG-023</t>
  </si>
  <si>
    <t>Change control records</t>
  </si>
  <si>
    <t>CO-ACC-024</t>
  </si>
  <si>
    <t>Access rights &amp; admin controls</t>
  </si>
  <si>
    <t>CO-RPT-025</t>
  </si>
  <si>
    <t>Third party reports</t>
  </si>
  <si>
    <t>CO-INS2-026</t>
  </si>
  <si>
    <t>Insurance docs/latent defects (if any)</t>
  </si>
  <si>
    <t>CO-TRF-027</t>
  </si>
  <si>
    <t>Ownership/lease transfer docs</t>
  </si>
  <si>
    <t>Prepared</t>
  </si>
  <si>
    <t>CO-REV-028</t>
  </si>
  <si>
    <t>Document revision control</t>
  </si>
  <si>
    <t>Current revisions</t>
  </si>
  <si>
    <t>CO-RET-029</t>
  </si>
  <si>
    <t>Retention/handback conditions</t>
  </si>
  <si>
    <t>CO-SUM-030</t>
  </si>
  <si>
    <t>Compliance summary</t>
  </si>
  <si>
    <t>CO-REC-031</t>
  </si>
  <si>
    <t>CO-PHT-032</t>
  </si>
  <si>
    <t>CO-KPI-033</t>
  </si>
  <si>
    <t>Compliance KPI tracking</t>
  </si>
  <si>
    <t>Trended</t>
  </si>
  <si>
    <t>CO-AUD-034</t>
  </si>
  <si>
    <t>Audit readiness score</t>
  </si>
  <si>
    <t>Calculated</t>
  </si>
  <si>
    <t>CO-GOV-035</t>
  </si>
  <si>
    <t>Government-ready packaging</t>
  </si>
  <si>
    <t>Format complete</t>
  </si>
  <si>
    <t>FM-PM-001</t>
  </si>
  <si>
    <t>FM-CM-002</t>
  </si>
  <si>
    <t>Clean; organized</t>
  </si>
  <si>
    <t>Tickets, assets updated</t>
  </si>
  <si>
    <t>Performance reviewed</t>
  </si>
  <si>
    <t>Controlled</t>
  </si>
  <si>
    <t>Weight</t>
  </si>
  <si>
    <t>Weighted Score</t>
  </si>
  <si>
    <t>Test ID</t>
  </si>
  <si>
    <t>Test Name</t>
  </si>
  <si>
    <t>Standard / Reference</t>
  </si>
  <si>
    <t>Instrument</t>
  </si>
  <si>
    <t>Locations / Sampling</t>
  </si>
  <si>
    <t>Acceptance Criteria</t>
  </si>
  <si>
    <t>Readings</t>
  </si>
  <si>
    <t>Linked Item Codes</t>
  </si>
  <si>
    <t>Witness</t>
  </si>
  <si>
    <t>Date</t>
  </si>
  <si>
    <t>Finding</t>
  </si>
  <si>
    <t>Required Action</t>
  </si>
  <si>
    <t>Estimated Cost</t>
  </si>
  <si>
    <t>Verification Evidence</t>
  </si>
  <si>
    <t>Score %</t>
  </si>
  <si>
    <t>System Threshold (%)</t>
  </si>
  <si>
    <t>Snag Location</t>
  </si>
  <si>
    <t>Snag Evidence Ref.</t>
  </si>
  <si>
    <t>Corrective and Preventive Action (CAPA) ID</t>
  </si>
  <si>
    <t>Rate/Weight</t>
  </si>
  <si>
    <t>Asset(s) Tag No.</t>
  </si>
  <si>
    <t>Item Count</t>
  </si>
  <si>
    <t>Estimated Life Time</t>
  </si>
  <si>
    <t>Current Year</t>
  </si>
  <si>
    <t>Estimated Effective Age</t>
  </si>
  <si>
    <t>City</t>
  </si>
  <si>
    <t>Inspection Result</t>
  </si>
  <si>
    <t>Project Information</t>
  </si>
  <si>
    <t>Please fill the details</t>
  </si>
  <si>
    <r>
      <t xml:space="preserve">Subsystem
</t>
    </r>
    <r>
      <rPr>
        <i/>
        <sz val="9"/>
        <color rgb="FFFFFFCC"/>
        <rFont val="Myriad Pro"/>
        <family val="2"/>
      </rPr>
      <t>(Please Select from the list)</t>
    </r>
  </si>
  <si>
    <r>
      <t xml:space="preserve">Component
</t>
    </r>
    <r>
      <rPr>
        <i/>
        <sz val="9"/>
        <color rgb="FFFFFFCC"/>
        <rFont val="Myriad Pro"/>
        <family val="2"/>
      </rPr>
      <t>(Please Select from the list)</t>
    </r>
  </si>
  <si>
    <r>
      <t xml:space="preserve">Snag Evidence Type
</t>
    </r>
    <r>
      <rPr>
        <i/>
        <sz val="9"/>
        <color rgb="FFFFFFCC"/>
        <rFont val="Myriad Pro"/>
        <family val="2"/>
      </rPr>
      <t>(Please Select from the list)</t>
    </r>
  </si>
  <si>
    <r>
      <t xml:space="preserve">Rate
</t>
    </r>
    <r>
      <rPr>
        <i/>
        <sz val="9"/>
        <color rgb="FFFFFFCC"/>
        <rFont val="Myriad Pro"/>
        <family val="2"/>
      </rPr>
      <t>(Please Select from the list)</t>
    </r>
  </si>
  <si>
    <r>
      <t xml:space="preserve">Item Weight
</t>
    </r>
    <r>
      <rPr>
        <i/>
        <sz val="9"/>
        <color rgb="FFFFFFCC"/>
        <rFont val="Myriad Pro"/>
        <family val="2"/>
      </rPr>
      <t>(Please Select from the list)</t>
    </r>
  </si>
  <si>
    <r>
      <t xml:space="preserve">Responsibility
</t>
    </r>
    <r>
      <rPr>
        <i/>
        <sz val="9"/>
        <color rgb="FFFFFFCC"/>
        <rFont val="Myriad Pro"/>
        <family val="2"/>
      </rPr>
      <t>(Please Select from the list)</t>
    </r>
  </si>
  <si>
    <r>
      <t xml:space="preserve">Priority
</t>
    </r>
    <r>
      <rPr>
        <i/>
        <sz val="9"/>
        <color rgb="FFFFFFCC"/>
        <rFont val="Myriad Pro"/>
        <family val="2"/>
      </rPr>
      <t>(Please Select from the list)</t>
    </r>
  </si>
  <si>
    <r>
      <t xml:space="preserve">Status
</t>
    </r>
    <r>
      <rPr>
        <i/>
        <sz val="9"/>
        <color rgb="FFFFFFCC"/>
        <rFont val="Myriad Pro"/>
        <family val="2"/>
      </rPr>
      <t>(Please Select from the list)</t>
    </r>
  </si>
  <si>
    <t>Valid Building Permit (Administrative Use)</t>
  </si>
  <si>
    <t>National Address Registration (SPL)</t>
  </si>
  <si>
    <t>Electricity Connection Certificate (Active – SEC)</t>
  </si>
  <si>
    <t>Waste Management Contract</t>
  </si>
  <si>
    <t>No</t>
  </si>
  <si>
    <t>Partial</t>
  </si>
  <si>
    <t>Yes</t>
  </si>
  <si>
    <t>Systems Performance</t>
  </si>
  <si>
    <t>Government Compliance Checklist</t>
  </si>
  <si>
    <t>Total Inspected Items</t>
  </si>
  <si>
    <t>Building Score</t>
  </si>
  <si>
    <t xml:space="preserve">FM Performance </t>
  </si>
  <si>
    <t>High Priority Classificated</t>
  </si>
  <si>
    <t>Notes:</t>
  </si>
  <si>
    <t>1. Purpose of This Tool</t>
  </si>
  <si>
    <t>This workbook is used to perform:</t>
  </si>
  <si>
    <t>It is a structured, weighted, and auditable checklist designed for professional and government use</t>
  </si>
  <si>
    <t>*Building handover and delivery inspections</t>
  </si>
  <si>
    <t>*Facilities Management (FM) performance audits</t>
  </si>
  <si>
    <t>*Asset condition, compliance, and operational readiness assessments</t>
  </si>
  <si>
    <t>2. Who Should Use This Handbook</t>
  </si>
  <si>
    <t>This handbook is intended for:</t>
  </si>
  <si>
    <t>*Inspectors</t>
  </si>
  <si>
    <t>*Engineers</t>
  </si>
  <si>
    <t>*Auditors</t>
  </si>
  <si>
    <t>*FM Supervisors</t>
  </si>
  <si>
    <t>*Consultants</t>
  </si>
  <si>
    <t>4. How to Perform an Inspection</t>
  </si>
  <si>
    <t>Rating</t>
  </si>
  <si>
    <t>Meaning</t>
  </si>
  <si>
    <t>Excellent – Fully compliant</t>
  </si>
  <si>
    <t>Good – Minor observations</t>
  </si>
  <si>
    <t>Fair – Acceptable</t>
  </si>
  <si>
    <t>Poor – Non-compliant</t>
  </si>
  <si>
    <t>Critical – Unacceptable</t>
  </si>
  <si>
    <t>Not Applicable</t>
  </si>
  <si>
    <t>Critical / Safety risk</t>
  </si>
  <si>
    <t>High</t>
  </si>
  <si>
    <t>Medium</t>
  </si>
  <si>
    <t>Low</t>
  </si>
  <si>
    <t>Executive Assessment Summary</t>
  </si>
  <si>
    <t>Building Assessment</t>
  </si>
  <si>
    <t>Test Register</t>
  </si>
  <si>
    <t>CAPA Register</t>
  </si>
  <si>
    <t>3. Sheets Description</t>
  </si>
  <si>
    <t>1. Complete project information in Executive Assessment Summary Sheet</t>
  </si>
  <si>
    <t>2. Review the weigh in the Executive Assessment Summary Sheet</t>
  </si>
  <si>
    <t>3. Review the weight in the Building Assessment Sheet</t>
  </si>
  <si>
    <t>6. Review results in the Executive Assessment Summary Sheet</t>
  </si>
  <si>
    <t>7. Submit the final report to the Advisory team for review</t>
  </si>
  <si>
    <r>
      <rPr>
        <sz val="10"/>
        <color rgb="FFC00000"/>
        <rFont val="Myriad Pro"/>
        <family val="2"/>
      </rPr>
      <t>❌</t>
    </r>
    <r>
      <rPr>
        <sz val="10"/>
        <color theme="1"/>
        <rFont val="Aptos"/>
        <family val="2"/>
      </rPr>
      <t xml:space="preserve"> </t>
    </r>
    <r>
      <rPr>
        <sz val="11"/>
        <color theme="1"/>
        <rFont val="Myriad Pro"/>
        <family val="2"/>
      </rPr>
      <t>Do not edit formulas</t>
    </r>
  </si>
  <si>
    <r>
      <rPr>
        <sz val="11"/>
        <color rgb="FFC00000"/>
        <rFont val="Myriad Pro"/>
        <family val="2"/>
      </rPr>
      <t>❌</t>
    </r>
    <r>
      <rPr>
        <b/>
        <sz val="12"/>
        <color theme="1"/>
        <rFont val="Aptos"/>
        <family val="2"/>
      </rPr>
      <t xml:space="preserve"> </t>
    </r>
    <r>
      <rPr>
        <sz val="11"/>
        <color theme="1"/>
        <rFont val="Myriad Pro"/>
        <family val="2"/>
      </rPr>
      <t>Do not rename sheets</t>
    </r>
  </si>
  <si>
    <t>5. Guideline</t>
  </si>
  <si>
    <t>Rating Scale</t>
  </si>
  <si>
    <t>Priority Levels</t>
  </si>
  <si>
    <t>5. Inspect each inspection item under your system and fill all the required fields in the Building Assessment Sheet</t>
  </si>
  <si>
    <r>
      <rPr>
        <b/>
        <sz val="14"/>
        <color rgb="FF006100"/>
        <rFont val="Myriad Pro"/>
        <family val="2"/>
      </rPr>
      <t xml:space="preserve">✓ </t>
    </r>
    <r>
      <rPr>
        <sz val="11"/>
        <rFont val="Myriad Pro"/>
        <family val="2"/>
      </rPr>
      <t>Test each line item</t>
    </r>
  </si>
  <si>
    <r>
      <rPr>
        <b/>
        <sz val="14"/>
        <color rgb="FF006100"/>
        <rFont val="Myriad Pro"/>
        <family val="2"/>
      </rPr>
      <t>✓</t>
    </r>
    <r>
      <rPr>
        <sz val="12"/>
        <color theme="1"/>
        <rFont val="Aptos"/>
        <family val="2"/>
      </rPr>
      <t xml:space="preserve"> </t>
    </r>
    <r>
      <rPr>
        <sz val="11"/>
        <color theme="1"/>
        <rFont val="Myriad Pro"/>
        <family val="2"/>
      </rPr>
      <t xml:space="preserve"> Register all tests in the Test Register Sheet</t>
    </r>
  </si>
  <si>
    <r>
      <rPr>
        <b/>
        <sz val="14"/>
        <color rgb="FF006100"/>
        <rFont val="Myriad Pro"/>
        <family val="2"/>
      </rPr>
      <t>✓</t>
    </r>
    <r>
      <rPr>
        <sz val="12"/>
        <color theme="1"/>
        <rFont val="Aptos"/>
        <family val="2"/>
      </rPr>
      <t xml:space="preserve"> </t>
    </r>
    <r>
      <rPr>
        <sz val="11"/>
        <color theme="1"/>
        <rFont val="Myriad Pro"/>
        <family val="2"/>
      </rPr>
      <t xml:space="preserve"> Fill all the required fields in the Building Assessment Sheet</t>
    </r>
  </si>
  <si>
    <r>
      <rPr>
        <b/>
        <sz val="14"/>
        <color rgb="FF006100"/>
        <rFont val="Myriad Pro"/>
        <family val="2"/>
      </rPr>
      <t>✓</t>
    </r>
    <r>
      <rPr>
        <sz val="12"/>
        <color theme="1"/>
        <rFont val="Aptos"/>
        <family val="2"/>
      </rPr>
      <t xml:space="preserve"> </t>
    </r>
    <r>
      <rPr>
        <sz val="11"/>
        <color theme="1"/>
        <rFont val="Myriad Pro"/>
        <family val="2"/>
      </rPr>
      <t xml:space="preserve"> Fill the corrective and Preventive data in CAPA Register sheet</t>
    </r>
  </si>
  <si>
    <t>What Assessors Must Do</t>
  </si>
  <si>
    <t>What Assessors Must NOT Do</t>
  </si>
  <si>
    <t>Summarizes the overall building condition, key risks, and final acceptance status.</t>
  </si>
  <si>
    <t>Confirms compliance with applicable government regulations and approvals.</t>
  </si>
  <si>
    <t>Assesses the technical condition and performance of building systems.</t>
  </si>
  <si>
    <t>Logs all inspections and tests performed and their outcomes.</t>
  </si>
  <si>
    <t>Tracks corrective actions, responsibilities, and closure status.</t>
  </si>
  <si>
    <r>
      <rPr>
        <b/>
        <sz val="14"/>
        <color rgb="FF006100"/>
        <rFont val="Myriad Pro"/>
        <family val="2"/>
      </rPr>
      <t>✓</t>
    </r>
    <r>
      <rPr>
        <sz val="12"/>
        <color theme="1"/>
        <rFont val="Aptos"/>
        <family val="2"/>
      </rPr>
      <t xml:space="preserve"> </t>
    </r>
    <r>
      <rPr>
        <sz val="11"/>
        <color theme="1"/>
        <rFont val="Myriad Pro"/>
        <family val="2"/>
      </rPr>
      <t>Fill all data in the Government Compliance Checklist sheet</t>
    </r>
  </si>
  <si>
    <t xml:space="preserve">                                                                                                                                                                                                                                                                                                                 Executive Assessment Summary</t>
  </si>
  <si>
    <r>
      <rPr>
        <b/>
        <sz val="14"/>
        <color rgb="FF006100"/>
        <rFont val="Myriad Pro"/>
        <family val="2"/>
      </rPr>
      <t>✓</t>
    </r>
    <r>
      <rPr>
        <sz val="11"/>
        <color theme="1"/>
        <rFont val="Myriad Pro"/>
        <family val="2"/>
      </rPr>
      <t xml:space="preserve"> Review the whole report with your administrator</t>
    </r>
  </si>
  <si>
    <t>Government Compliance</t>
  </si>
  <si>
    <t>Gross Bulit Area (m²)</t>
  </si>
  <si>
    <t>Chronological (Actual) Age</t>
  </si>
  <si>
    <t>Total economic life</t>
  </si>
  <si>
    <t>Planned Asset Retirement Year</t>
  </si>
  <si>
    <t>Estimated Remaining life</t>
  </si>
  <si>
    <t>Assessment Summary</t>
  </si>
  <si>
    <t>Year</t>
  </si>
  <si>
    <t>Last Major Renovation Date</t>
  </si>
  <si>
    <t>RESIDENTIAL</t>
  </si>
  <si>
    <t>COMMERCIAL</t>
  </si>
  <si>
    <t>INDUSTRIAL</t>
  </si>
  <si>
    <t>INSTITUTIONAL / PUBLIC</t>
  </si>
  <si>
    <t>INFRASTRUCTURAL</t>
  </si>
  <si>
    <t>AGRICULTURAL</t>
  </si>
  <si>
    <t>PRIMARY USE</t>
  </si>
  <si>
    <t>Type</t>
  </si>
  <si>
    <t>LOAD-BEARING MASONRY</t>
  </si>
  <si>
    <t>STEEL FRAME</t>
  </si>
  <si>
    <t>REINFORCED CONCRETE (RC)</t>
  </si>
  <si>
    <t>TIMBER/ WOOD FRAME</t>
  </si>
  <si>
    <t>PRECAST/ PREFABRICATED</t>
  </si>
  <si>
    <t>COMPOSITE</t>
  </si>
  <si>
    <t>ADMIN</t>
  </si>
  <si>
    <t>User Manual</t>
  </si>
  <si>
    <r>
      <rPr>
        <b/>
        <sz val="12"/>
        <color rgb="FFFFFFFF"/>
        <rFont val="Myriad Pro"/>
        <family val="2"/>
      </rPr>
      <t>Status</t>
    </r>
    <r>
      <rPr>
        <b/>
        <sz val="11"/>
        <color rgb="FFFFFFFF"/>
        <rFont val="Myriad Pro"/>
        <family val="2"/>
      </rPr>
      <t xml:space="preserve">
</t>
    </r>
    <r>
      <rPr>
        <i/>
        <sz val="9"/>
        <color rgb="FFFFFFCC"/>
        <rFont val="Myriad Pro"/>
        <family val="2"/>
      </rPr>
      <t>(Please Select from the list)</t>
    </r>
  </si>
  <si>
    <t>Total Weight</t>
  </si>
  <si>
    <t>Fire_LifeSafety</t>
  </si>
  <si>
    <t>Fire Alarm</t>
  </si>
  <si>
    <t>Manual Call Point</t>
  </si>
  <si>
    <t>Fire Pump</t>
  </si>
  <si>
    <t>Sprinkler System</t>
  </si>
  <si>
    <t>Hydrant / Hose Reel</t>
  </si>
  <si>
    <t>Clean Agent System</t>
  </si>
  <si>
    <t>Smoke Control</t>
  </si>
  <si>
    <t>Smoke Extract Fan</t>
  </si>
  <si>
    <t>Pressurization Fan</t>
  </si>
  <si>
    <t>Fire / Smoke Damper</t>
  </si>
  <si>
    <t>Compartmentation</t>
  </si>
  <si>
    <t>Fire Door</t>
  </si>
  <si>
    <t>Emergency Lighting</t>
  </si>
  <si>
    <t>Exit Sign</t>
  </si>
  <si>
    <t>Central Battery System</t>
  </si>
  <si>
    <t>Interfaces</t>
  </si>
  <si>
    <t>BMS Interface</t>
  </si>
  <si>
    <t>Vertical_Transportation</t>
  </si>
  <si>
    <t>Elevators</t>
  </si>
  <si>
    <t>Elevator Controller</t>
  </si>
  <si>
    <t>Door Operator</t>
  </si>
  <si>
    <t>Emergency Intercom</t>
  </si>
  <si>
    <t>Machine Room Equipment</t>
  </si>
  <si>
    <t>Pit Equipment</t>
  </si>
  <si>
    <t>Escalators</t>
  </si>
  <si>
    <t>Drive Motor</t>
  </si>
  <si>
    <t>Emergency Stop</t>
  </si>
  <si>
    <t>Comb Plate</t>
  </si>
  <si>
    <t>BMS_Controls</t>
  </si>
  <si>
    <t>Central System</t>
  </si>
  <si>
    <t>BMS Workstation</t>
  </si>
  <si>
    <t>Network Switch</t>
  </si>
  <si>
    <t>Control Logic</t>
  </si>
  <si>
    <t>Time Schedule</t>
  </si>
  <si>
    <t>Alarms &amp; Trends</t>
  </si>
  <si>
    <t>Alarm Configuration</t>
  </si>
  <si>
    <t>Trend Database</t>
  </si>
  <si>
    <t>Field Devices</t>
  </si>
  <si>
    <t>Actuator</t>
  </si>
  <si>
    <t>Integration</t>
  </si>
  <si>
    <t>Fire Alarm Interface</t>
  </si>
  <si>
    <t>HVAC Interface</t>
  </si>
  <si>
    <t>Lighting Interface</t>
  </si>
  <si>
    <t>User Access Control</t>
  </si>
  <si>
    <t>ELV_Systems</t>
  </si>
  <si>
    <t>Intercom</t>
  </si>
  <si>
    <t>Structured Cabling</t>
  </si>
  <si>
    <t>Waste_Management</t>
  </si>
  <si>
    <t>Infrastructure</t>
  </si>
  <si>
    <t>Hazardous Waste</t>
  </si>
  <si>
    <t>Contracts</t>
  </si>
  <si>
    <t>Gas_Systems</t>
  </si>
  <si>
    <t>Distribution</t>
  </si>
  <si>
    <t>Gas Meter</t>
  </si>
  <si>
    <t>Gas Piping</t>
  </si>
  <si>
    <t>Safety</t>
  </si>
  <si>
    <t>Gas Detector</t>
  </si>
  <si>
    <t>Emergency Shutoff Valve</t>
  </si>
  <si>
    <t>Appliances</t>
  </si>
  <si>
    <t>Kitchen Equipment</t>
  </si>
  <si>
    <t>Governance_Readiness</t>
  </si>
  <si>
    <t>Fire Drill Records</t>
  </si>
  <si>
    <t>Lifecycle</t>
  </si>
  <si>
    <t>Risk</t>
  </si>
  <si>
    <t>Automatic Transfer Switch</t>
  </si>
  <si>
    <t>Distribution Board</t>
  </si>
  <si>
    <t>Surge Protection Device</t>
  </si>
  <si>
    <t>Harmonic Filter</t>
  </si>
  <si>
    <t>Air Handling</t>
  </si>
  <si>
    <t>Air Handling Unit</t>
  </si>
  <si>
    <t>Fan Coil Unit</t>
  </si>
  <si>
    <t>Air Distribution</t>
  </si>
  <si>
    <t>Hydronic System</t>
  </si>
  <si>
    <t>Refrigerant Piping</t>
  </si>
  <si>
    <t>BMS Interface Panel</t>
  </si>
  <si>
    <t>Chemical Dosing System</t>
  </si>
  <si>
    <t>Water Meter</t>
  </si>
  <si>
    <t>Water Heater</t>
  </si>
  <si>
    <t>Thermostatic Mixing Valve</t>
  </si>
  <si>
    <t>Isolation Valve</t>
  </si>
  <si>
    <t>Pressure Reducing Valve</t>
  </si>
  <si>
    <t>Plumbing Fixture</t>
  </si>
  <si>
    <t>Drain Pipe</t>
  </si>
  <si>
    <t>Stormwater Pit</t>
  </si>
  <si>
    <t>Recycled Water Tank</t>
  </si>
  <si>
    <t>Walls</t>
  </si>
  <si>
    <t>Structural Wall</t>
  </si>
  <si>
    <t>Expansion Joint</t>
  </si>
  <si>
    <t>Control Joint</t>
  </si>
  <si>
    <t>Waterproofing</t>
  </si>
  <si>
    <t>Floor Finish</t>
  </si>
  <si>
    <t>Doors</t>
  </si>
  <si>
    <t>Windows</t>
  </si>
  <si>
    <t>Facade</t>
  </si>
  <si>
    <t>Ventilation</t>
  </si>
  <si>
    <t>Landscape Light Fixture</t>
  </si>
  <si>
    <t>Soil Moisture Sensor</t>
  </si>
  <si>
    <t>Heating</t>
  </si>
  <si>
    <t>Chemical Treatment</t>
  </si>
  <si>
    <t>Pool Light</t>
  </si>
  <si>
    <t>Water Inlets</t>
  </si>
  <si>
    <t>Water Features</t>
  </si>
  <si>
    <t>Fire Alarm Control Panel</t>
  </si>
  <si>
    <t>Detector</t>
  </si>
  <si>
    <t>Sounder and Beacon</t>
  </si>
  <si>
    <t>Voice Evacuation System</t>
  </si>
  <si>
    <t>Jockey Pump</t>
  </si>
  <si>
    <t>Fire Extinguisher</t>
  </si>
  <si>
    <t>Fire Curtain</t>
  </si>
  <si>
    <t>Traveling Cable</t>
  </si>
  <si>
    <t>Network Segmentation</t>
  </si>
  <si>
    <t>Password Policy</t>
  </si>
  <si>
    <t>Network Video Recorder</t>
  </si>
  <si>
    <t>Video Management System</t>
  </si>
  <si>
    <t>Video Wall</t>
  </si>
  <si>
    <t>Electromagnetic Lock</t>
  </si>
  <si>
    <t>Intercom Station</t>
  </si>
  <si>
    <t>Control Room</t>
  </si>
  <si>
    <t>Control Console</t>
  </si>
  <si>
    <t>Monitoring System</t>
  </si>
  <si>
    <t>Wireless Controller</t>
  </si>
  <si>
    <t>Cabling</t>
  </si>
  <si>
    <t>Server Room</t>
  </si>
  <si>
    <t>Storage Array</t>
  </si>
  <si>
    <t>Environmental Monitoring</t>
  </si>
  <si>
    <t>Telephony</t>
  </si>
  <si>
    <t>Telephone System</t>
  </si>
  <si>
    <t>VoIP Gateway</t>
  </si>
  <si>
    <t>Backup System</t>
  </si>
  <si>
    <t>Patch Management</t>
  </si>
  <si>
    <t>Time Systems</t>
  </si>
  <si>
    <t>Master Clock</t>
  </si>
  <si>
    <t>Nurse Call</t>
  </si>
  <si>
    <t>Building Automation</t>
  </si>
  <si>
    <t>Gateway</t>
  </si>
  <si>
    <t>Integration Server</t>
  </si>
  <si>
    <t>Submetering System</t>
  </si>
  <si>
    <t>Energy Dashboard</t>
  </si>
  <si>
    <t>Renewable Energy</t>
  </si>
  <si>
    <t>Asset Data</t>
  </si>
  <si>
    <t>System Utilization</t>
  </si>
  <si>
    <t>Energy Audit</t>
  </si>
  <si>
    <t>HSE</t>
  </si>
  <si>
    <t>Planned vs completed PM tasks</t>
  </si>
  <si>
    <t>&gt;95% completion rate</t>
  </si>
  <si>
    <t>CM response &amp; resolution time</t>
  </si>
  <si>
    <t>Within SLA targets</t>
  </si>
  <si>
    <t>FM-QLT-003</t>
  </si>
  <si>
    <t>Quality of workmanship post-PM/CM</t>
  </si>
  <si>
    <t>Defect-free; signed off</t>
  </si>
  <si>
    <t>FM-RPT-004</t>
  </si>
  <si>
    <t>FM KPI reporting timeliness &amp; accuracy</t>
  </si>
  <si>
    <t>Submitted on time; data valid</t>
  </si>
  <si>
    <t>FM-INV-005</t>
  </si>
  <si>
    <t>Critical spare parts availability &amp; stock</t>
  </si>
  <si>
    <t>Stock levels maintained</t>
  </si>
  <si>
    <t>FM-HKP-006</t>
  </si>
  <si>
    <t>Plantroom &amp; facility housekeeping</t>
  </si>
  <si>
    <t>FM-TRN-007</t>
  </si>
  <si>
    <t>FM staff competency records</t>
  </si>
  <si>
    <t>Up-to-date; role-specific</t>
  </si>
  <si>
    <t>FM-CAFM-008</t>
  </si>
  <si>
    <t>CAFM/CMMS data completeness &amp; usage</t>
  </si>
  <si>
    <t>FM-VDR-009</t>
  </si>
  <si>
    <t>Vendor performance management</t>
  </si>
  <si>
    <t>FM-CST-010</t>
  </si>
  <si>
    <t>FM budget vs actual expenditure</t>
  </si>
  <si>
    <t>Within variance tolerance</t>
  </si>
  <si>
    <t>FM-EN-011</t>
  </si>
  <si>
    <t>Energy efficiency initiatives tracking</t>
  </si>
  <si>
    <t>Savings verified</t>
  </si>
  <si>
    <t>FM-RPT-012</t>
  </si>
  <si>
    <t>Repeat failure analysis &amp; resolution</t>
  </si>
  <si>
    <t>Root causes addressed</t>
  </si>
  <si>
    <t>FM-SAF-013</t>
  </si>
  <si>
    <t>Safety compliance during FM works</t>
  </si>
  <si>
    <t>Zero incidents; PPE used</t>
  </si>
  <si>
    <t>FM-GOV-014</t>
  </si>
  <si>
    <t>Governance &amp; audit compliance</t>
  </si>
  <si>
    <t>No major non-conformities</t>
  </si>
  <si>
    <t>FM-LCC-015</t>
  </si>
  <si>
    <t>Lifecycle cost tracking for major assets</t>
  </si>
  <si>
    <t>Data captured</t>
  </si>
  <si>
    <t>FM-ENV-016</t>
  </si>
  <si>
    <t>Environmental compliance in FM ops</t>
  </si>
  <si>
    <t>Waste handled correctly</t>
  </si>
  <si>
    <t>FM-DOC-017</t>
  </si>
  <si>
    <t>O&amp;M documentation availability at point of use</t>
  </si>
  <si>
    <t>Easily accessible</t>
  </si>
  <si>
    <t>FM-INT-018</t>
  </si>
  <si>
    <t>System integration for FM workflows</t>
  </si>
  <si>
    <t>Automated where possible</t>
  </si>
  <si>
    <t>FM-CON-019</t>
  </si>
  <si>
    <t>Contractor supervision &amp; control</t>
  </si>
  <si>
    <t>Site rules enforced</t>
  </si>
  <si>
    <t>FM-VAL-020</t>
  </si>
  <si>
    <t>Value added by FM activities</t>
  </si>
  <si>
    <t>Quantified benefits</t>
  </si>
  <si>
    <t>FM-RES-021</t>
  </si>
  <si>
    <t>Resilience &amp; business continuity support</t>
  </si>
  <si>
    <t>Tested plans</t>
  </si>
  <si>
    <t>FM-TEC-022</t>
  </si>
  <si>
    <t>Technical compliance with OEM guidelines</t>
  </si>
  <si>
    <t>Followed</t>
  </si>
  <si>
    <t>FM-CUS-023</t>
  </si>
  <si>
    <t>Stakeholder satisfaction feedback</t>
  </si>
  <si>
    <t>Positive trends</t>
  </si>
  <si>
    <t>FM-RSK-024</t>
  </si>
  <si>
    <t>Risk management in FM operations</t>
  </si>
  <si>
    <t>Risks identified &amp; mitigated</t>
  </si>
  <si>
    <t>FM-INN-025</t>
  </si>
  <si>
    <t>Innovation &amp; continuous improvement</t>
  </si>
  <si>
    <t>Initiatives tracked</t>
  </si>
  <si>
    <t>FM-AST-026</t>
  </si>
  <si>
    <t>Asset condition &amp; performance trending</t>
  </si>
  <si>
    <t>Data used for decisions</t>
  </si>
  <si>
    <t>FM-COM-027</t>
  </si>
  <si>
    <t>Communication &amp; coordination with other trades</t>
  </si>
  <si>
    <t>Effective</t>
  </si>
  <si>
    <t>FM-LEG-028</t>
  </si>
  <si>
    <t>Legal &amp; regulatory awareness</t>
  </si>
  <si>
    <t>FM-DAT-029</t>
  </si>
  <si>
    <t>Data accuracy in asset registers</t>
  </si>
  <si>
    <t>High confidence level</t>
  </si>
  <si>
    <t>FM-SEC-030</t>
  </si>
  <si>
    <t>Security &amp; access control during works</t>
  </si>
  <si>
    <t>FM-OPT-031</t>
  </si>
  <si>
    <t>Operational efficiency metrics</t>
  </si>
  <si>
    <t>Benchmarks met</t>
  </si>
  <si>
    <t>FM-SUS-032</t>
  </si>
  <si>
    <t>Sustainability integration in FM</t>
  </si>
  <si>
    <t>Goals supported</t>
  </si>
  <si>
    <t>FM-AUD-033</t>
  </si>
  <si>
    <t>Internal audit results &amp; actions</t>
  </si>
  <si>
    <t>Closed out</t>
  </si>
  <si>
    <t>FM-TTM-034</t>
  </si>
  <si>
    <t>Mean Time to Repair (MTTR)</t>
  </si>
  <si>
    <t>FM-SUM-035</t>
  </si>
  <si>
    <t>Overall FM performance summary</t>
  </si>
  <si>
    <t>Meeting objectives</t>
  </si>
  <si>
    <t>FL-CP-001</t>
  </si>
  <si>
    <t>Fire alarm control panel test</t>
  </si>
  <si>
    <t>All zones operational; no faults</t>
  </si>
  <si>
    <t>FL-DT-002</t>
  </si>
  <si>
    <t>Smoke/heat detector functional test</t>
  </si>
  <si>
    <t>Response within manufacturer spec</t>
  </si>
  <si>
    <t>FL-MCP-003</t>
  </si>
  <si>
    <t>Manual call point activation test</t>
  </si>
  <si>
    <t>Activates alarm; location correct</t>
  </si>
  <si>
    <t>FL-SB-004</t>
  </si>
  <si>
    <t>Audible/visual alarm device test</t>
  </si>
  <si>
    <t>Sound level ≥75dB(A); lights visible</t>
  </si>
  <si>
    <t>FL-VE-005</t>
  </si>
  <si>
    <t>Voice evacuation system test</t>
  </si>
  <si>
    <t>Clear audio; zoning correct</t>
  </si>
  <si>
    <t>FL-BT-006</t>
  </si>
  <si>
    <t>Battery backup duration test</t>
  </si>
  <si>
    <t>≥30 minutes autonomy</t>
  </si>
  <si>
    <t>FL-FP-007</t>
  </si>
  <si>
    <t>Fire pump auto-start test</t>
  </si>
  <si>
    <t>Starts within 30s of pressure drop</t>
  </si>
  <si>
    <t>FL-JP-008</t>
  </si>
  <si>
    <t>Jockey pump operation test</t>
  </si>
  <si>
    <t>Maintains pressure; cycles correctly</t>
  </si>
  <si>
    <t>FL-SS-009</t>
  </si>
  <si>
    <t>Sprinkler system pressure test</t>
  </si>
  <si>
    <t>Pressure stable; no leaks</t>
  </si>
  <si>
    <t>FL-HH-010</t>
  </si>
  <si>
    <t>Hydrant/hose reel flow test</t>
  </si>
  <si>
    <t>Adequate flow/pressure; valves operable</t>
  </si>
  <si>
    <t>FL-FE-011</t>
  </si>
  <si>
    <t>Fire extinguisher inspection</t>
  </si>
  <si>
    <t>In date; pressure ok; accessible</t>
  </si>
  <si>
    <t>FL-CA-012</t>
  </si>
  <si>
    <t>Clean agent system readiness</t>
  </si>
  <si>
    <t>Pressure ok; nozzles unobstructed</t>
  </si>
  <si>
    <t>FL-SE-013</t>
  </si>
  <si>
    <t>Smoke extract fan test</t>
  </si>
  <si>
    <t>Starts on command; airflow adequate</t>
  </si>
  <si>
    <t>FL-PF-014</t>
  </si>
  <si>
    <t>Pressurization fan test</t>
  </si>
  <si>
    <t>Creates positive pressure as designed</t>
  </si>
  <si>
    <t>FL-FD-015</t>
  </si>
  <si>
    <t>Fire/smoke damper operation test</t>
  </si>
  <si>
    <t>Closes on signal; seals intact</t>
  </si>
  <si>
    <t>FL-FD-016</t>
  </si>
  <si>
    <t>Fire door inspection</t>
  </si>
  <si>
    <t>Self-closing; gaps ≤4mm; seals intact</t>
  </si>
  <si>
    <t>FL-FC-017</t>
  </si>
  <si>
    <t>Fire curtain drop test</t>
  </si>
  <si>
    <t>Drops automatically; no obstruction</t>
  </si>
  <si>
    <t>FL-FS-018</t>
  </si>
  <si>
    <t>Firestopping integrity check</t>
  </si>
  <si>
    <t>Penetrations sealed; material intact</t>
  </si>
  <si>
    <t>FL-EL-019</t>
  </si>
  <si>
    <t>Emergency lighting duration test</t>
  </si>
  <si>
    <t>≥90 minutes operation</t>
  </si>
  <si>
    <t>FL-ES-020</t>
  </si>
  <si>
    <t>Exit sign illumination test</t>
  </si>
  <si>
    <t>Clearly visible; illuminated</t>
  </si>
  <si>
    <t>FL-CB-021</t>
  </si>
  <si>
    <t>Central battery system test</t>
  </si>
  <si>
    <t>Charging ok; load test passed</t>
  </si>
  <si>
    <t>FL-ER-022</t>
  </si>
  <si>
    <t>Elevator recall interface test</t>
  </si>
  <si>
    <t>Elevators recall to designated floor</t>
  </si>
  <si>
    <t>FL-AC-023</t>
  </si>
  <si>
    <t>Access control release test</t>
  </si>
  <si>
    <t>Doors unlock on fire signal</t>
  </si>
  <si>
    <t>FL-BI-024</t>
  </si>
  <si>
    <t>BMS interface verification</t>
  </si>
  <si>
    <t>Alarms received; HVAC shutdown works</t>
  </si>
  <si>
    <t>FL-HS-025</t>
  </si>
  <si>
    <t>HVAC shutdown test</t>
  </si>
  <si>
    <t>AHUs/Fans stop on fire signal</t>
  </si>
  <si>
    <t>FL-CD-026</t>
  </si>
  <si>
    <t>Civil defense certification</t>
  </si>
  <si>
    <t>Valid certificate available</t>
  </si>
  <si>
    <t>FL-FS-027</t>
  </si>
  <si>
    <t>Fire strategy drawing verification</t>
  </si>
  <si>
    <t>Matches as-built; accessible</t>
  </si>
  <si>
    <t>FL-TC-028</t>
  </si>
  <si>
    <t>Fire system test certificates</t>
  </si>
  <si>
    <t>Complete set available</t>
  </si>
  <si>
    <t>FL-OP-029</t>
  </si>
  <si>
    <t>Fire panel operator training</t>
  </si>
  <si>
    <t>FM staff trained; records available</t>
  </si>
  <si>
    <t>FL-MP-030</t>
  </si>
  <si>
    <t>Fire pump monthly run test</t>
  </si>
  <si>
    <t>Records available; pump operational</t>
  </si>
  <si>
    <t>FL-FI-031</t>
  </si>
  <si>
    <t>Fire door inspection log</t>
  </si>
  <si>
    <t>Regular inspections documented</t>
  </si>
  <si>
    <t>FL-SC-032</t>
  </si>
  <si>
    <t>Smoke control sequence verification</t>
  </si>
  <si>
    <t>Sequences match fire strategy</t>
  </si>
  <si>
    <t>FL-ZN-033</t>
  </si>
  <si>
    <t>Zone identification accuracy</t>
  </si>
  <si>
    <t>Panel display matches physical zones</t>
  </si>
  <si>
    <t>FL-RS-034</t>
  </si>
  <si>
    <t>Emergency responder communication test</t>
  </si>
  <si>
    <t>Tested with authorities if required</t>
  </si>
  <si>
    <t>FL-DR-035</t>
  </si>
  <si>
    <t>Fire drill records</t>
  </si>
  <si>
    <t>Regular drills conducted; documented</t>
  </si>
  <si>
    <t>GS-MT-001</t>
  </si>
  <si>
    <t>Gas meter reading accuracy</t>
  </si>
  <si>
    <t>Matches supplier readings (±2%)</t>
  </si>
  <si>
    <t>GS-GP-002</t>
  </si>
  <si>
    <t>Gas piping pressure test</t>
  </si>
  <si>
    <t>Hold pressure; no leaks detected</t>
  </si>
  <si>
    <t>GS-IV-003</t>
  </si>
  <si>
    <t>Isolation valve operation</t>
  </si>
  <si>
    <t>All valves operable; labeled</t>
  </si>
  <si>
    <t>GS-GD-004</t>
  </si>
  <si>
    <t>Gas detector calibration/ test</t>
  </si>
  <si>
    <t>Alarms at setpoint; calibrated recently</t>
  </si>
  <si>
    <t>GS-ES-005</t>
  </si>
  <si>
    <t>Emergency shutoff test</t>
  </si>
  <si>
    <t>Valve closes on command/manual</t>
  </si>
  <si>
    <t>GS-BH-006</t>
  </si>
  <si>
    <t>Gas appliance combustion test</t>
  </si>
  <si>
    <t>CO levels within safe limits</t>
  </si>
  <si>
    <t>GS-KE-007</t>
  </si>
  <si>
    <t>Kitchen equipment safety</t>
  </si>
  <si>
    <t>Flame failure devices functional</t>
  </si>
  <si>
    <t>GS-PT-008</t>
  </si>
  <si>
    <t>Pressure test certificate</t>
  </si>
  <si>
    <t>GS-AA-009</t>
  </si>
  <si>
    <t>Authority approval documents</t>
  </si>
  <si>
    <t>All required approvals obtained</t>
  </si>
  <si>
    <t>GS-LK-010</t>
  </si>
  <si>
    <t>Leak detection survey</t>
  </si>
  <si>
    <t>No leaks detected with gas sniffer</t>
  </si>
  <si>
    <t>GS-VE-011</t>
  </si>
  <si>
    <t>Ventilation adequacy</t>
  </si>
  <si>
    <t>Gas room ventilation meets requirements</t>
  </si>
  <si>
    <t>GS-AC-012</t>
  </si>
  <si>
    <t>Access to valves</t>
  </si>
  <si>
    <t>All valves accessible in emergency</t>
  </si>
  <si>
    <t>GS-AL-013</t>
  </si>
  <si>
    <t>Alarm integration with BMS/Fire</t>
  </si>
  <si>
    <t>Alarms received at control room</t>
  </si>
  <si>
    <t>GS-RS-014</t>
  </si>
  <si>
    <t>Remote shutoff functionality</t>
  </si>
  <si>
    <t>Can be activated from control room</t>
  </si>
  <si>
    <t>GS-EF-015</t>
  </si>
  <si>
    <t>Efficiency measurement</t>
  </si>
  <si>
    <t>Combustion efficiency within spec</t>
  </si>
  <si>
    <t>GS-MA-016</t>
  </si>
  <si>
    <t>Maintenance records</t>
  </si>
  <si>
    <t>Regular maintenance documented</t>
  </si>
  <si>
    <t>GS-IN-017</t>
  </si>
  <si>
    <t>Insurance inspection compliance</t>
  </si>
  <si>
    <t>Meets insurer requirements</t>
  </si>
  <si>
    <t>GS-TR-018</t>
  </si>
  <si>
    <t>Training on gas safety</t>
  </si>
  <si>
    <t>GS-SU-019</t>
  </si>
  <si>
    <t>Supply pressure stability</t>
  </si>
  <si>
    <t>Pressure stable within allowable range</t>
  </si>
  <si>
    <t>GS-CO-020</t>
  </si>
  <si>
    <t>Corrosion protection</t>
  </si>
  <si>
    <t>Piping protected; no corrosion</t>
  </si>
  <si>
    <t>GS-ID-021</t>
  </si>
  <si>
    <t>Valve identification</t>
  </si>
  <si>
    <t>All valves clearly labeled</t>
  </si>
  <si>
    <t>GS-LO-022</t>
  </si>
  <si>
    <t>Location of detectors</t>
  </si>
  <si>
    <t>Detectors in correct locations per risk</t>
  </si>
  <si>
    <t>GS-TE-023</t>
  </si>
  <si>
    <t>Testing frequency</t>
  </si>
  <si>
    <t>Tested quarterly; records available</t>
  </si>
  <si>
    <t>GS-FL-024</t>
  </si>
  <si>
    <t>Flue gas analysis</t>
  </si>
  <si>
    <t>Emission levels within limits</t>
  </si>
  <si>
    <t>GS-CL-025</t>
  </si>
  <si>
    <t>Cleanliness of burners</t>
  </si>
  <si>
    <t>Burners clean; flame pattern good</t>
  </si>
  <si>
    <t>GS-RE-026</t>
  </si>
  <si>
    <t>Regulator station condition</t>
  </si>
  <si>
    <t>Secure; protected; gauges working</t>
  </si>
  <si>
    <t>GS-SO-027</t>
  </si>
  <si>
    <t>SOPs for gas emergencies</t>
  </si>
  <si>
    <t>Procedures documented; accessible</t>
  </si>
  <si>
    <t>GS-RD-028</t>
  </si>
  <si>
    <t>Remote reading capability</t>
  </si>
  <si>
    <t>If applicable, remote reading works</t>
  </si>
  <si>
    <t>GS-IN-029</t>
  </si>
  <si>
    <t>Insulation where required</t>
  </si>
  <si>
    <t>Pipes insulated per design</t>
  </si>
  <si>
    <t>GS-OP-030</t>
  </si>
  <si>
    <t>Operational procedures</t>
  </si>
  <si>
    <t>Lockout/tagout procedures exist</t>
  </si>
  <si>
    <t>GS-BU-031</t>
  </si>
  <si>
    <t>Battery backup</t>
  </si>
  <si>
    <t>Detectors have battery backup</t>
  </si>
  <si>
    <t>GS-VI-032</t>
  </si>
  <si>
    <t>Visual indicators</t>
  </si>
  <si>
    <t>Shutoff status clearly visible</t>
  </si>
  <si>
    <t>GS-NO-033</t>
  </si>
  <si>
    <t>Noise levels</t>
  </si>
  <si>
    <t>Burner noise within acceptable limits</t>
  </si>
  <si>
    <t>GS-SA-034</t>
  </si>
  <si>
    <t>Safety signage</t>
  </si>
  <si>
    <t>All required safety signs present</t>
  </si>
  <si>
    <t>GS-DO-035</t>
  </si>
  <si>
    <t>Documentation completeness</t>
  </si>
  <si>
    <t>All gas-related documents filed</t>
  </si>
  <si>
    <t>VT-EL-001</t>
  </si>
  <si>
    <t>Elevator inspection certificate</t>
  </si>
  <si>
    <t>Valid certificate; within date</t>
  </si>
  <si>
    <t>VT-EC-002</t>
  </si>
  <si>
    <t>Controller operation test</t>
  </si>
  <si>
    <t>Smooth acceleration/deceleration</t>
  </si>
  <si>
    <t>VT-DO-003</t>
  </si>
  <si>
    <t>Door operation safety test</t>
  </si>
  <si>
    <t>Reopen on obstruction; timing correct</t>
  </si>
  <si>
    <t>VT-SD-004</t>
  </si>
  <si>
    <t>Safety device test</t>
  </si>
  <si>
    <t>Governor, buffers, brakes functional</t>
  </si>
  <si>
    <t>VT-OG-005</t>
  </si>
  <si>
    <t>Overspeed governor test</t>
  </si>
  <si>
    <t>Activates at set speed</t>
  </si>
  <si>
    <t>VT-BS-006</t>
  </si>
  <si>
    <t>Brake system test</t>
  </si>
  <si>
    <t>Holds load; stops smoothly</t>
  </si>
  <si>
    <t>VT-EI-007</t>
  </si>
  <si>
    <t>Emergency intercom test</t>
  </si>
  <si>
    <t>Clear communication; auto-dial works</t>
  </si>
  <si>
    <t>VT-MR-008</t>
  </si>
  <si>
    <t>Machine room inspection</t>
  </si>
  <si>
    <t>Clean; well-lit; ventilated</t>
  </si>
  <si>
    <t>VT-PE-009</t>
  </si>
  <si>
    <t>Pit inspection</t>
  </si>
  <si>
    <t>Clean; dry; no debris</t>
  </si>
  <si>
    <t>VT-TC-010</t>
  </si>
  <si>
    <t>Traveling cable condition</t>
  </si>
  <si>
    <t>No visible damage; movement free</t>
  </si>
  <si>
    <t>VT-ES-011</t>
  </si>
  <si>
    <t>Escalator operation test</t>
  </si>
  <si>
    <t>Smooth start/stop; handrail sync</t>
  </si>
  <si>
    <t>VT-MW-012</t>
  </si>
  <si>
    <t>Moving walkway test</t>
  </si>
  <si>
    <t>Constant speed; no vibrations</t>
  </si>
  <si>
    <t>VT-HR-013</t>
  </si>
  <si>
    <t>Handrail safety test</t>
  </si>
  <si>
    <t>Moves with steps; no entrapment</t>
  </si>
  <si>
    <t>VT-DM-014</t>
  </si>
  <si>
    <t>Drive motor condition</t>
  </si>
  <si>
    <t>No unusual noise; temperature ok</t>
  </si>
  <si>
    <t>VT-ES-015</t>
  </si>
  <si>
    <t>Emergency stop button test</t>
  </si>
  <si>
    <t>Stops immediately; resets correctly</t>
  </si>
  <si>
    <t>VT-CP-016</t>
  </si>
  <si>
    <t>Comb plate safety check</t>
  </si>
  <si>
    <t>Gaps within tolerance; no sharp edges</t>
  </si>
  <si>
    <t>VT-IC-017</t>
  </si>
  <si>
    <t>Annual inspection certificate</t>
  </si>
  <si>
    <t>Current; all items passed</t>
  </si>
  <si>
    <t>VT-ML-018</t>
  </si>
  <si>
    <t>Maintenance logbook completeness</t>
  </si>
  <si>
    <t>All PMs documented; up-to-date</t>
  </si>
  <si>
    <t>VT-SE-019</t>
  </si>
  <si>
    <t>Service elevator load test</t>
  </si>
  <si>
    <t>Rated capacity handled safely</t>
  </si>
  <si>
    <t>VT-RS-020</t>
  </si>
  <si>
    <t>Rescue operation procedure</t>
  </si>
  <si>
    <t>Rescue procedure documented; staff trained</t>
  </si>
  <si>
    <t>VT-LV-021</t>
  </si>
  <si>
    <t>Leveling accuracy</t>
  </si>
  <si>
    <t>Stops within ±10mm of floor level</t>
  </si>
  <si>
    <t>VT-DT-022</t>
  </si>
  <si>
    <t>Door timing adjustment</t>
  </si>
  <si>
    <t>Opening/closing times as per spec</t>
  </si>
  <si>
    <t>VT-SF-023</t>
  </si>
  <si>
    <t>Step/skirt panel gaps</t>
  </si>
  <si>
    <t>Within safety standards (≤4mm)</t>
  </si>
  <si>
    <t>VT-BL-024</t>
  </si>
  <si>
    <t>Balustrade integrity</t>
  </si>
  <si>
    <t>Secure; no cracks/damage</t>
  </si>
  <si>
    <t>VT-RP-025</t>
  </si>
  <si>
    <t>Repair history review</t>
  </si>
  <si>
    <t>Recurring issues addressed</t>
  </si>
  <si>
    <t>VT-TH-026</t>
  </si>
  <si>
    <t>Machine room temperature</t>
  </si>
  <si>
    <t>Within manufacturer limits (≤40°C)</t>
  </si>
  <si>
    <t>VT-LT-027</t>
  </si>
  <si>
    <t>Pit lighting/ventilation</t>
  </si>
  <si>
    <t>Functional; adequate</t>
  </si>
  <si>
    <t>VT-HC-028</t>
  </si>
  <si>
    <t>Handrail cleanliness/condition</t>
  </si>
  <si>
    <t>Clean; no damage; moves smoothly</t>
  </si>
  <si>
    <t>VT-VB-029</t>
  </si>
  <si>
    <t>Vibration/noise levels</t>
  </si>
  <si>
    <t>Within acceptable limits</t>
  </si>
  <si>
    <t>VT-EL-030</t>
  </si>
  <si>
    <t>Edge lighting (if any)</t>
  </si>
  <si>
    <t>Functional; evenly illuminated</t>
  </si>
  <si>
    <t>VT-SP-031</t>
  </si>
  <si>
    <t>Spare parts availability</t>
  </si>
  <si>
    <t>Critical spares on site</t>
  </si>
  <si>
    <t>VT-CC-032</t>
  </si>
  <si>
    <t>Control cable condition</t>
  </si>
  <si>
    <t>No damage; connections secure</t>
  </si>
  <si>
    <t>VT-PS-033</t>
  </si>
  <si>
    <t>Pit stop switch test</t>
  </si>
  <si>
    <t>Stops elevator when activated</t>
  </si>
  <si>
    <t>VT-GT-034</t>
  </si>
  <si>
    <t>Governor tension test</t>
  </si>
  <si>
    <t>Tension as per manufacturer spec</t>
  </si>
  <si>
    <t>VT-BL-035</t>
  </si>
  <si>
    <t>Brake lining wear check</t>
  </si>
  <si>
    <t>Within acceptable wear limits</t>
  </si>
  <si>
    <t>BM-SV-001</t>
  </si>
  <si>
    <t>BMS server operation</t>
  </si>
  <si>
    <t>CPU/memory usage normal; no errors</t>
  </si>
  <si>
    <t>BM-WS-002</t>
  </si>
  <si>
    <t>Workstation functionality</t>
  </si>
  <si>
    <t>All software operational; responsive</t>
  </si>
  <si>
    <t>BM-NS-003</t>
  </si>
  <si>
    <t>Network connectivity test</t>
  </si>
  <si>
    <t>All nodes communicating; no packet loss</t>
  </si>
  <si>
    <t>BM-UP-004</t>
  </si>
  <si>
    <t>BMS UPS test</t>
  </si>
  <si>
    <t>Autonomy meets requirement; transfer smooth</t>
  </si>
  <si>
    <t>BM-SP-005</t>
  </si>
  <si>
    <t>Control sequence verification</t>
  </si>
  <si>
    <t>All sequences operating as programmed</t>
  </si>
  <si>
    <t>BM-TS-006</t>
  </si>
  <si>
    <t>Time schedule operation</t>
  </si>
  <si>
    <t>Schedules activate/deactivate correctly</t>
  </si>
  <si>
    <t>BM-AC-007</t>
  </si>
  <si>
    <t>Alarm generation test</t>
  </si>
  <si>
    <t>Alarms trigger at setpoints; priorities correct</t>
  </si>
  <si>
    <t>BM-TD-008</t>
  </si>
  <si>
    <t>Trend logging verification</t>
  </si>
  <si>
    <t>Data logging continuously; accessible</t>
  </si>
  <si>
    <t>BM-DC-009</t>
  </si>
  <si>
    <t>DDC controller health</t>
  </si>
  <si>
    <t>All I/O points responsive; no comms errors</t>
  </si>
  <si>
    <t>BM-SE-010</t>
  </si>
  <si>
    <t>Sensor calibration check</t>
  </si>
  <si>
    <t>Readings within ±5% of reference</t>
  </si>
  <si>
    <t>BM-AC-011</t>
  </si>
  <si>
    <t>Actuator operation test</t>
  </si>
  <si>
    <t>Full stroke; responds to commands</t>
  </si>
  <si>
    <t>BM-FI-012</t>
  </si>
  <si>
    <t>Fire alarm interface test</t>
  </si>
  <si>
    <t>Fire signals received; actions triggered</t>
  </si>
  <si>
    <t>BM-HI-013</t>
  </si>
  <si>
    <t>HVAC control verification</t>
  </si>
  <si>
    <t>All HVAC points controllable via BMS</t>
  </si>
  <si>
    <t>BM-LI-014</t>
  </si>
  <si>
    <t>Lighting control test</t>
  </si>
  <si>
    <t>Lighting schedules/zones work correctly</t>
  </si>
  <si>
    <t>BM-PI-015</t>
  </si>
  <si>
    <t>Power metering interface</t>
  </si>
  <si>
    <t>Meter data logged; alarms generated</t>
  </si>
  <si>
    <t>BM-UA-016</t>
  </si>
  <si>
    <t>User access levels</t>
  </si>
  <si>
    <t>Different access levels functional</t>
  </si>
  <si>
    <t>BM-NS-017</t>
  </si>
  <si>
    <t>Network security check</t>
  </si>
  <si>
    <t>Segmented as per design; firewalls active</t>
  </si>
  <si>
    <t>BM-PP-018</t>
  </si>
  <si>
    <t>Password policy enforcement</t>
  </si>
  <si>
    <t>Complex passwords; regular changes</t>
  </si>
  <si>
    <t>BM-CR-019</t>
  </si>
  <si>
    <t>Commissioning report availability</t>
  </si>
  <si>
    <t>Complete report; all points signed off</t>
  </si>
  <si>
    <t>BM-AH-020</t>
  </si>
  <si>
    <t>Alarm history retention</t>
  </si>
  <si>
    <t>≥90 days history available</t>
  </si>
  <si>
    <t>BM-BK-021</t>
  </si>
  <si>
    <t>Database backup test</t>
  </si>
  <si>
    <t>Backup successful; restore verified</t>
  </si>
  <si>
    <t>BM-VE-022</t>
  </si>
  <si>
    <t>Software version control</t>
  </si>
  <si>
    <t>Latest version; documented changes</t>
  </si>
  <si>
    <t>BM-EN-023</t>
  </si>
  <si>
    <t>Energy trending accuracy</t>
  </si>
  <si>
    <t>Matches utility meter readings (±2%)</t>
  </si>
  <si>
    <t>BM-PM-024</t>
  </si>
  <si>
    <t>PM completed on schedule</t>
  </si>
  <si>
    <t>BM-CL-025</t>
  </si>
  <si>
    <t>Sensor location verification</t>
  </si>
  <si>
    <t>Locations match drawings; accessible</t>
  </si>
  <si>
    <t>BM-DR-026</t>
  </si>
  <si>
    <t>Disaster recovery test</t>
  </si>
  <si>
    <t>System restores from backup</t>
  </si>
  <si>
    <t>BM-OP-027</t>
  </si>
  <si>
    <t>Operator training records</t>
  </si>
  <si>
    <t>FM staff trained; competency verified</t>
  </si>
  <si>
    <t>BM-DO-028</t>
  </si>
  <si>
    <t>Documentation availability</t>
  </si>
  <si>
    <t>All manuals, drawings accessible</t>
  </si>
  <si>
    <t>BM-RE-029</t>
  </si>
  <si>
    <t>Redundancy verification</t>
  </si>
  <si>
    <t>Failover to backup server works</t>
  </si>
  <si>
    <t>BM-AU-030</t>
  </si>
  <si>
    <t>Audit trail functionality</t>
  </si>
  <si>
    <t>All user actions logged</t>
  </si>
  <si>
    <t>BM-SC-031</t>
  </si>
  <si>
    <t>System security scan</t>
  </si>
  <si>
    <t>No vulnerabilities detected</t>
  </si>
  <si>
    <t>BM-EX-032</t>
  </si>
  <si>
    <t>External access security</t>
  </si>
  <si>
    <t>VPN/remote access secure</t>
  </si>
  <si>
    <t>BM-PT-033</t>
  </si>
  <si>
    <t>Point database accuracy</t>
  </si>
  <si>
    <t>All points match as-built drawings</t>
  </si>
  <si>
    <t>BM-RS-034</t>
  </si>
  <si>
    <t>Response time to alarms</t>
  </si>
  <si>
    <t>Alarms acknowledged within 5 minutes</t>
  </si>
  <si>
    <t>BM-KP-035</t>
  </si>
  <si>
    <t>KPI reporting capability</t>
  </si>
  <si>
    <t>All required reports generated</t>
  </si>
  <si>
    <t>EL-MC-001</t>
  </si>
  <si>
    <t>Master clock synchronization</t>
  </si>
  <si>
    <t>All slave clocks show correct time</t>
  </si>
  <si>
    <t>EL-TS-002</t>
  </si>
  <si>
    <t>Time sync accuracy</t>
  </si>
  <si>
    <t>Within ±1 second of reference</t>
  </si>
  <si>
    <t>EL-HD-003</t>
  </si>
  <si>
    <t>Headend equipment operation</t>
  </si>
  <si>
    <t>All channels clear; no signal loss</t>
  </si>
  <si>
    <t>EL-RD-004</t>
  </si>
  <si>
    <t>Receiver/decoder test</t>
  </si>
  <si>
    <t>All units operational; channels accessible</t>
  </si>
  <si>
    <t>EL-GW-007</t>
  </si>
  <si>
    <t>Gateway communication test</t>
  </si>
  <si>
    <t>All protocols communicating</t>
  </si>
  <si>
    <t>EL-IS-008</t>
  </si>
  <si>
    <t>Integration server operation</t>
  </si>
  <si>
    <t>Data exchange between systems working</t>
  </si>
  <si>
    <t>EL-EM-009</t>
  </si>
  <si>
    <t>Submeter data collection</t>
  </si>
  <si>
    <t>All meters reporting; data accurate</t>
  </si>
  <si>
    <t>EL-ED-010</t>
  </si>
  <si>
    <t>Energy dashboard functionality</t>
  </si>
  <si>
    <t>Real-time display; historical data accessible</t>
  </si>
  <si>
    <t>EL-BC-011</t>
  </si>
  <si>
    <t>Battery backup for master clock</t>
  </si>
  <si>
    <t>Maintains time during power loss</t>
  </si>
  <si>
    <t>EL-SG-012</t>
  </si>
  <si>
    <t>Signal quality measurement</t>
  </si>
  <si>
    <t>Signal strength/quality within limits</t>
  </si>
  <si>
    <t>EL-CP-013</t>
  </si>
  <si>
    <t>Content protection (if applicable)</t>
  </si>
  <si>
    <t>Encryption/access control functional</t>
  </si>
  <si>
    <t>EL-PR-016</t>
  </si>
  <si>
    <t>Protocol conversion accuracy</t>
  </si>
  <si>
    <t>Data translation correct; no errors</t>
  </si>
  <si>
    <t>EL-SC-017</t>
  </si>
  <si>
    <t>Scalability verification</t>
  </si>
  <si>
    <t>Can add new devices/systems</t>
  </si>
  <si>
    <t>EL-AL-018</t>
  </si>
  <si>
    <t>Alarm generation for consumption</t>
  </si>
  <si>
    <t>Alarms trigger at set thresholds</t>
  </si>
  <si>
    <t>EL-RP-019</t>
  </si>
  <si>
    <t>Reporting capability</t>
  </si>
  <si>
    <t>Custom reports generated correctly</t>
  </si>
  <si>
    <t>EL-NT-020</t>
  </si>
  <si>
    <t>NTP server connection</t>
  </si>
  <si>
    <t>Connected to reliable time source</t>
  </si>
  <si>
    <t>EL-MA-021</t>
  </si>
  <si>
    <t>Maintenance access</t>
  </si>
  <si>
    <t>All equipment accessible for service</t>
  </si>
  <si>
    <t>EL-FW-024</t>
  </si>
  <si>
    <t>Firmware version control</t>
  </si>
  <si>
    <t>Latest firmware; documented</t>
  </si>
  <si>
    <t>EL-BK-025</t>
  </si>
  <si>
    <t>Database backup</t>
  </si>
  <si>
    <t>Regular backups; restore tested</t>
  </si>
  <si>
    <t>EL-CL-026</t>
  </si>
  <si>
    <t>Calibration certificates</t>
  </si>
  <si>
    <t>All meters calibrated; certificates available</t>
  </si>
  <si>
    <t>EL-EX-027</t>
  </si>
  <si>
    <t>Export functionality</t>
  </si>
  <si>
    <t>Data export to CSV/Excel works</t>
  </si>
  <si>
    <t>EL-DS-028</t>
  </si>
  <si>
    <t>Daylight saving adjustment</t>
  </si>
  <si>
    <t>Automatic adjustment works</t>
  </si>
  <si>
    <t>EL-RM-029</t>
  </si>
  <si>
    <t>Remote management</t>
  </si>
  <si>
    <t>Can manage units remotely</t>
  </si>
  <si>
    <t>EL-MT-031</t>
  </si>
  <si>
    <t>MTBF monitoring</t>
  </si>
  <si>
    <t>Mean time between failures tracked</t>
  </si>
  <si>
    <t>EL-PF-032</t>
  </si>
  <si>
    <t>Performance metrics</t>
  </si>
  <si>
    <t>System performance within spec</t>
  </si>
  <si>
    <t>EL-VA-033</t>
  </si>
  <si>
    <t>Validation of meter readings</t>
  </si>
  <si>
    <t>Matches utility bills (±5%)</t>
  </si>
  <si>
    <t>EL-TR-034</t>
  </si>
  <si>
    <t>Training records</t>
  </si>
  <si>
    <t>FM staff trained on system</t>
  </si>
  <si>
    <t>EL-DC-035</t>
  </si>
  <si>
    <t>All manuals, diagrams available</t>
  </si>
  <si>
    <t>WM-WR-001</t>
  </si>
  <si>
    <t>Waste room condition</t>
  </si>
  <si>
    <t>Clean; ventilated; no pest evidence</t>
  </si>
  <si>
    <t>WM-WC-002</t>
  </si>
  <si>
    <t>Waste chute operation</t>
  </si>
  <si>
    <t>Smooth operation; doors seal properly</t>
  </si>
  <si>
    <t>WM-CB-003</t>
  </si>
  <si>
    <t>Compactor/baler operation</t>
  </si>
  <si>
    <t>Operational; safety interlocks work</t>
  </si>
  <si>
    <t>WM-BS-004</t>
  </si>
  <si>
    <t>Bin station adequacy</t>
  </si>
  <si>
    <t>Sufficient capacity; accessible for collection</t>
  </si>
  <si>
    <t>WM-WC-005</t>
  </si>
  <si>
    <t>Waste contract verification</t>
  </si>
  <si>
    <t>Contract in place; collection schedule</t>
  </si>
  <si>
    <t>WM-RP-006</t>
  </si>
  <si>
    <t>Recycling program effectiveness</t>
  </si>
  <si>
    <t>Adequate segregation; diversion rate tracked</t>
  </si>
  <si>
    <t>WM-HS-007</t>
  </si>
  <si>
    <t>Hazardous waste storage</t>
  </si>
  <si>
    <t>Secure; labeled; spill containment</t>
  </si>
  <si>
    <t>WM-SK-008</t>
  </si>
  <si>
    <t>Spill kit availability</t>
  </si>
  <si>
    <t>Kits available; stocked; accessible</t>
  </si>
  <si>
    <t>WM-VS-009</t>
  </si>
  <si>
    <t>Waste area ventilation</t>
  </si>
  <si>
    <t>Adequate air changes; odors controlled</t>
  </si>
  <si>
    <t>WM-PC-010</t>
  </si>
  <si>
    <t>Pest control measures</t>
  </si>
  <si>
    <t>Effective; no infestation evidence</t>
  </si>
  <si>
    <t>WM-FI-011</t>
  </si>
  <si>
    <t>Fire protection</t>
  </si>
  <si>
    <t>Fire extinguishers; no combustible accumulation</t>
  </si>
  <si>
    <t>WM-SO-012</t>
  </si>
  <si>
    <t>Chute cleaning access</t>
  </si>
  <si>
    <t>Access panels available; cleanable</t>
  </si>
  <si>
    <t>WM-MA-013</t>
  </si>
  <si>
    <t>WM-WA-014</t>
  </si>
  <si>
    <t>Washdown facility</t>
  </si>
  <si>
    <t>Area can be cleaned; drainage works</t>
  </si>
  <si>
    <t>WM-DO-015</t>
  </si>
  <si>
    <t>Waste transfer notes; manifests available</t>
  </si>
  <si>
    <t>WM-ED-016</t>
  </si>
  <si>
    <t>Education/signage</t>
  </si>
  <si>
    <t>Clear signage; user awareness</t>
  </si>
  <si>
    <t>WM-TR-017</t>
  </si>
  <si>
    <t>Training on hazardous waste</t>
  </si>
  <si>
    <t>Staff trained; records available</t>
  </si>
  <si>
    <t>WM-DR-018</t>
  </si>
  <si>
    <t>Drill/spill response test</t>
  </si>
  <si>
    <t>Response procedure tested</t>
  </si>
  <si>
    <t>WM-FA-019</t>
  </si>
  <si>
    <t>Fan maintenance</t>
  </si>
  <si>
    <t>Fans operational; filters clean</t>
  </si>
  <si>
    <t>WM-MO-020</t>
  </si>
  <si>
    <t>Monitoring records</t>
  </si>
  <si>
    <t>Pest activity logs maintained</t>
  </si>
  <si>
    <t>WM-LO-021</t>
  </si>
  <si>
    <t>Location suitability</t>
  </si>
  <si>
    <t>Away from food areas; proper access</t>
  </si>
  <si>
    <t>WM-NO-022</t>
  </si>
  <si>
    <t>Chute operation not excessive</t>
  </si>
  <si>
    <t>WM-EN-023</t>
  </si>
  <si>
    <t>Energy consumption</t>
  </si>
  <si>
    <t>Within expected range</t>
  </si>
  <si>
    <t>WM-OD-024</t>
  </si>
  <si>
    <t>Odor control</t>
  </si>
  <si>
    <t>Effective; no complaints</t>
  </si>
  <si>
    <t>WM-CO-025</t>
  </si>
  <si>
    <t>Contractor performance</t>
  </si>
  <si>
    <t>KPIs met; service quality good</t>
  </si>
  <si>
    <t>WM-AU-026</t>
  </si>
  <si>
    <t>Audit of waste streams</t>
  </si>
  <si>
    <t>Regular audits conducted</t>
  </si>
  <si>
    <t>WM-TE-027</t>
  </si>
  <si>
    <t>Temperature control (if required)</t>
  </si>
  <si>
    <t>Within specified range</t>
  </si>
  <si>
    <t>WM-RE-028</t>
  </si>
  <si>
    <t>Replenishment process</t>
  </si>
  <si>
    <t>Kits replenished after use</t>
  </si>
  <si>
    <t>WM-AL-029</t>
  </si>
  <si>
    <t>Alarm for fan failure</t>
  </si>
  <si>
    <t>Alarm if ventilation fails</t>
  </si>
  <si>
    <t>WM-CH-030</t>
  </si>
  <si>
    <t>Chemical usage records</t>
  </si>
  <si>
    <t>Pesticide use documented</t>
  </si>
  <si>
    <t>WM-SI-031</t>
  </si>
  <si>
    <t>WM-FL-032</t>
  </si>
  <si>
    <t>Flow test</t>
  </si>
  <si>
    <t>Waste flows freely; no blockages</t>
  </si>
  <si>
    <t>WM-SA-033</t>
  </si>
  <si>
    <t>Safety training</t>
  </si>
  <si>
    <t>Operators trained; certificates available</t>
  </si>
  <si>
    <t>WM-CA-034</t>
  </si>
  <si>
    <t>Capacity planning</t>
  </si>
  <si>
    <t>Adequate for building occupancy</t>
  </si>
  <si>
    <t>WM-RT-035</t>
  </si>
  <si>
    <t>Reporting</t>
  </si>
  <si>
    <t>Regular waste reports generated</t>
  </si>
  <si>
    <t>GR-FB-001</t>
  </si>
  <si>
    <t>Fire-BMS integration test</t>
  </si>
  <si>
    <t>Fire signals received by BMS; actions correct</t>
  </si>
  <si>
    <t>GR-FH-002</t>
  </si>
  <si>
    <t>Fire-HVAC smoke control test</t>
  </si>
  <si>
    <t>Smoke mode activates correctly</t>
  </si>
  <si>
    <t>GR-FS-003</t>
  </si>
  <si>
    <t>Fire-security release test</t>
  </si>
  <si>
    <t>Access doors unlock on fire signal</t>
  </si>
  <si>
    <t>GR-EP-004</t>
  </si>
  <si>
    <t>Emergency power sequence test</t>
  </si>
  <si>
    <t>Critical loads transfer to backup</t>
  </si>
  <si>
    <t>GR-ER-005</t>
  </si>
  <si>
    <t>Elevator recall integration</t>
  </si>
  <si>
    <t>GR-SP-006</t>
  </si>
  <si>
    <t>Single point of failure analysis</t>
  </si>
  <si>
    <t>Critical SPOFs identified; mitigated</t>
  </si>
  <si>
    <t>GR-FM-007</t>
  </si>
  <si>
    <t>FM staff competency assessment</t>
  </si>
  <si>
    <t>All roles competent; training complete</t>
  </si>
  <si>
    <t>GR-ER-008</t>
  </si>
  <si>
    <t>Emergency response plan verification</t>
  </si>
  <si>
    <t>Plan complete; roles defined</t>
  </si>
  <si>
    <t>GR-FD-009</t>
  </si>
  <si>
    <t>Fire drill execution</t>
  </si>
  <si>
    <t>Drills conducted; records available</t>
  </si>
  <si>
    <t>GR-FI-010</t>
  </si>
  <si>
    <t>First intervention equipment</t>
  </si>
  <si>
    <t>Equipment available; staff trained</t>
  </si>
  <si>
    <t>GR-CR-011</t>
  </si>
  <si>
    <t>Control room SOPs</t>
  </si>
  <si>
    <t>Procedures documented; staff familiar</t>
  </si>
  <si>
    <t>GR-RU-012</t>
  </si>
  <si>
    <t>Remaining useful life assessment</t>
  </si>
  <si>
    <t>Major assets assessed; replacement plan</t>
  </si>
  <si>
    <t>GR-CM-013</t>
  </si>
  <si>
    <t>Asset criticality matrix</t>
  </si>
  <si>
    <t>Assets classified; maintenance aligned</t>
  </si>
  <si>
    <t>GR-RR-014</t>
  </si>
  <si>
    <t>Risk register completeness</t>
  </si>
  <si>
    <t>All major risks identified; mitigation plans</t>
  </si>
  <si>
    <t>GR-BC-015</t>
  </si>
  <si>
    <t>Business continuity plan</t>
  </si>
  <si>
    <t>BCP documented; tested</t>
  </si>
  <si>
    <t>GR-DB-016</t>
  </si>
  <si>
    <t>Digital/BIM handover</t>
  </si>
  <si>
    <t>As-built BIM model delivered</t>
  </si>
  <si>
    <t>GR-AT-017</t>
  </si>
  <si>
    <t>Asset tagging completion</t>
  </si>
  <si>
    <t>All critical assets tagged; database updated</t>
  </si>
  <si>
    <t>GR-LO-018</t>
  </si>
  <si>
    <t>Load shedding test</t>
  </si>
  <si>
    <t>Non-critical loads shed during emergency</t>
  </si>
  <si>
    <t>GR-PR-019</t>
  </si>
  <si>
    <t>Pressurization test</t>
  </si>
  <si>
    <t>Stairwell pressurization works</t>
  </si>
  <si>
    <t>GR-CCTV-020</t>
  </si>
  <si>
    <t>CCTV integration with fire</t>
  </si>
  <si>
    <t>CCTV focuses on alarm location</t>
  </si>
  <si>
    <t>GR-FU-021</t>
  </si>
  <si>
    <t>Fuel supply verification</t>
  </si>
  <si>
    <t>Adequate fuel for generator runtime</t>
  </si>
  <si>
    <t>GR-PH-022</t>
  </si>
  <si>
    <t>Phone communication test</t>
  </si>
  <si>
    <t>Emergency phones operational</t>
  </si>
  <si>
    <t>GR-DR-023</t>
  </si>
  <si>
    <t>Documented recovery procedures</t>
  </si>
  <si>
    <t>Recovery procedures for SPOFs exist</t>
  </si>
  <si>
    <t>GR-CE-024</t>
  </si>
  <si>
    <t>Certification verification</t>
  </si>
  <si>
    <t>Required certifications valid</t>
  </si>
  <si>
    <t>GR-CO-025</t>
  </si>
  <si>
    <t>Communication tree test</t>
  </si>
  <si>
    <t>Emergency communications work</t>
  </si>
  <si>
    <t>GR-EV-026</t>
  </si>
  <si>
    <t>Evacuation time measurement</t>
  </si>
  <si>
    <t>Evacuation within required time</t>
  </si>
  <si>
    <t>GR-LO-027</t>
  </si>
  <si>
    <t>Location mapping</t>
  </si>
  <si>
    <t>Equipment locations mapped</t>
  </si>
  <si>
    <t>GR-BA-028</t>
  </si>
  <si>
    <t>Backup control capability</t>
  </si>
  <si>
    <t>Alternative control location identified</t>
  </si>
  <si>
    <t>GR-FO-029</t>
  </si>
  <si>
    <t>Financial forecasting</t>
  </si>
  <si>
    <t>Budget for replacements projected</t>
  </si>
  <si>
    <t>GR-MT-030</t>
  </si>
  <si>
    <t>Maintenance strategy alignment</t>
  </si>
  <si>
    <t>Maintenance matches criticality</t>
  </si>
  <si>
    <t>GR-RE-031</t>
  </si>
  <si>
    <t>Review frequency</t>
  </si>
  <si>
    <t>Risks reviewed quarterly</t>
  </si>
  <si>
    <t>GR-TE-032</t>
  </si>
  <si>
    <t>BCP test results</t>
  </si>
  <si>
    <t>Test conducted; gaps addressed</t>
  </si>
  <si>
    <t>GR-AC-033</t>
  </si>
  <si>
    <t>Access to digital data</t>
  </si>
  <si>
    <t>FM team can access/use digital assets</t>
  </si>
  <si>
    <t>GR-SC-034</t>
  </si>
  <si>
    <t>Scanning test</t>
  </si>
  <si>
    <t>Asset tags scannable; link to data</t>
  </si>
  <si>
    <t>GR-SU-035</t>
  </si>
  <si>
    <t>Summary of integration readiness</t>
  </si>
  <si>
    <t>All critical integrations verified</t>
  </si>
  <si>
    <t>Fire Fighting</t>
  </si>
  <si>
    <t>Firestopping System</t>
  </si>
  <si>
    <t>Elevator Recall Interface</t>
  </si>
  <si>
    <t>Access Control Fire Release</t>
  </si>
  <si>
    <t>HVAC Shutdown Interface</t>
  </si>
  <si>
    <t>Civil Defense Certification</t>
  </si>
  <si>
    <t>Fire Strategy Drawings</t>
  </si>
  <si>
    <t>Fire System Test Certificates</t>
  </si>
  <si>
    <t>Training</t>
  </si>
  <si>
    <t>Fire Panel Operator Training</t>
  </si>
  <si>
    <t>Fire Pump Monthly Run Records</t>
  </si>
  <si>
    <t>Fire Door Inspection Log</t>
  </si>
  <si>
    <t>Smoke Control Sequences Record</t>
  </si>
  <si>
    <t>Power Distribution</t>
  </si>
  <si>
    <t>Cable Containment</t>
  </si>
  <si>
    <t>Protection &amp; Earthing</t>
  </si>
  <si>
    <t>Earthing System</t>
  </si>
  <si>
    <t>Bonding System</t>
  </si>
  <si>
    <t>Protection Relay / Breaker</t>
  </si>
  <si>
    <t>RCD / ELCB</t>
  </si>
  <si>
    <t>Metering &amp; PQ</t>
  </si>
  <si>
    <t>Power / Energy Meter</t>
  </si>
  <si>
    <t>Internal Lighting</t>
  </si>
  <si>
    <t>External Lighting</t>
  </si>
  <si>
    <t>Rooms</t>
  </si>
  <si>
    <t>Electrical Room</t>
  </si>
  <si>
    <t>BMS / SCADA Electrical Interface</t>
  </si>
  <si>
    <t>Electrical As‑Built Drawings</t>
  </si>
  <si>
    <t>Electrical Test Certificates</t>
  </si>
  <si>
    <t>Spares &amp; Safety</t>
  </si>
  <si>
    <t>Spare Breakers / Fuses</t>
  </si>
  <si>
    <t>Safety Signage &amp; PPE</t>
  </si>
  <si>
    <t>Clearances &amp; Housekeeping</t>
  </si>
  <si>
    <t>Emergency_Power</t>
  </si>
  <si>
    <t>Generation</t>
  </si>
  <si>
    <t>Diesel Generator</t>
  </si>
  <si>
    <t>Fuel System</t>
  </si>
  <si>
    <t>Transfer</t>
  </si>
  <si>
    <t>Emergency Distribution Board</t>
  </si>
  <si>
    <t>UPS System</t>
  </si>
  <si>
    <t>Battery Bank</t>
  </si>
  <si>
    <t>Resilience</t>
  </si>
  <si>
    <t>Redundancy / Single Point Review</t>
  </si>
  <si>
    <t>Chilled / Condenser Water Pump</t>
  </si>
  <si>
    <t>Volume / Fire Damper</t>
  </si>
  <si>
    <t>Grille / Diffuser</t>
  </si>
  <si>
    <t>Exhaust / Fresh Air Fan</t>
  </si>
  <si>
    <t>Strainer</t>
  </si>
  <si>
    <t>Controls &amp; BMS</t>
  </si>
  <si>
    <t>DX / VRF</t>
  </si>
  <si>
    <t>Water Supply</t>
  </si>
  <si>
    <t>Water Storage Tank</t>
  </si>
  <si>
    <t>Cold Water Pipework</t>
  </si>
  <si>
    <t>Hot Water Circulation Pump</t>
  </si>
  <si>
    <t>Stormwater</t>
  </si>
  <si>
    <t>Greywater Reuse</t>
  </si>
  <si>
    <t>Greywater Treatment Unit</t>
  </si>
  <si>
    <t>Boiler</t>
  </si>
  <si>
    <t>Elevator (Passenger / Service)</t>
  </si>
  <si>
    <t>Safety Devices (Governor / Brake)</t>
  </si>
  <si>
    <t>Escalator / Moving Walkway</t>
  </si>
  <si>
    <t>BMS UPS</t>
  </si>
  <si>
    <t>Control Sequence</t>
  </si>
  <si>
    <t>Power Meter Interface</t>
  </si>
  <si>
    <t>Time Synchronization System</t>
  </si>
  <si>
    <t>SATV / IPTV</t>
  </si>
  <si>
    <t>Headend System</t>
  </si>
  <si>
    <t>Receiver / Decoder</t>
  </si>
  <si>
    <t>Public Address</t>
  </si>
  <si>
    <t>PA Control Console</t>
  </si>
  <si>
    <t>Amplifier</t>
  </si>
  <si>
    <t>Audio Visual</t>
  </si>
  <si>
    <t>Projector</t>
  </si>
  <si>
    <t>Display Screen</t>
  </si>
  <si>
    <t>AV Control System</t>
  </si>
  <si>
    <t>Digital Signage</t>
  </si>
  <si>
    <t>Digital Signage Player</t>
  </si>
  <si>
    <t>Digital Display</t>
  </si>
  <si>
    <t>Nurse Call Master Station</t>
  </si>
  <si>
    <t>Patient / Staff Station</t>
  </si>
  <si>
    <t>System Controller</t>
  </si>
  <si>
    <t>Card / Biometric Reader</t>
  </si>
  <si>
    <t>PIR / Glass Break Detector</t>
  </si>
  <si>
    <t>Intrusion Alarm Panel</t>
  </si>
  <si>
    <t>Key Cabinet / Tracking</t>
  </si>
  <si>
    <t>Fence / Bollard</t>
  </si>
  <si>
    <t>WiFi</t>
  </si>
  <si>
    <t>Antivirus / Antimalware</t>
  </si>
  <si>
    <t>Intrusion Detection System</t>
  </si>
  <si>
    <t>Columns &amp; Beams</t>
  </si>
  <si>
    <t>Movement</t>
  </si>
  <si>
    <t>Retaining Structures</t>
  </si>
  <si>
    <t>Repair</t>
  </si>
  <si>
    <t>Structural Repair Material</t>
  </si>
  <si>
    <t>Tile / Paint / Gypsum / Wall Covering</t>
  </si>
  <si>
    <t>Window Frame / Glazing</t>
  </si>
  <si>
    <t>Tile &amp; Grout</t>
  </si>
  <si>
    <t>Cladding / Facade Panel</t>
  </si>
  <si>
    <t>Roofing Membrane / Insulation</t>
  </si>
  <si>
    <t>Ramp / Handrail</t>
  </si>
  <si>
    <t>Wayfinding</t>
  </si>
  <si>
    <t>Skirting / Sealant</t>
  </si>
  <si>
    <t>Pavement / Markings</t>
  </si>
  <si>
    <t>Drain Inlet / Channel</t>
  </si>
  <si>
    <t>Light Pole / Flood Light</t>
  </si>
  <si>
    <t>Barrier Gate / Traffic Arm / Bollard</t>
  </si>
  <si>
    <t>Payment &amp; Control</t>
  </si>
  <si>
    <t>Payment Kiosk / Card Reader</t>
  </si>
  <si>
    <t>Ventilation Fan / CO Monitor</t>
  </si>
  <si>
    <t>Perimeter</t>
  </si>
  <si>
    <t>Fence / Gate</t>
  </si>
  <si>
    <t>Safety Mirror / Speed Bump</t>
  </si>
  <si>
    <t>Sprinkler / Drip Line / Valve / Controller / Pump</t>
  </si>
  <si>
    <t>Tree / Shrub / Turf</t>
  </si>
  <si>
    <t>Soil &amp; Mulch</t>
  </si>
  <si>
    <t>Soil / Mulch</t>
  </si>
  <si>
    <t>Path Paver / Edging / Retaining Wall</t>
  </si>
  <si>
    <t>Pest Control System</t>
  </si>
  <si>
    <t>Drain Channel / French Drain</t>
  </si>
  <si>
    <t>Pool Pump / Filter</t>
  </si>
  <si>
    <t>Chlorinator / Dosing Pump / pH Controller</t>
  </si>
  <si>
    <t>Heater / Heat Pump</t>
  </si>
  <si>
    <t>Safety Kit / Anti-slip Surface</t>
  </si>
  <si>
    <t>Structure &amp; Finishes</t>
  </si>
  <si>
    <t>Pool Tile / Coping</t>
  </si>
  <si>
    <t>Feature Pump / Fountain Nozzle</t>
  </si>
  <si>
    <t>Drain Cover / Overflow Gutter</t>
  </si>
  <si>
    <t>Pool Controller / Water Quality Sensor</t>
  </si>
  <si>
    <t>Skimmer / Inlet Fitting</t>
  </si>
  <si>
    <t>Waste Room / Chute / Compactor / Baler / Bins</t>
  </si>
  <si>
    <t>Ventilation System / Pest Control System</t>
  </si>
  <si>
    <t>Hazardous Waste Storage / Spill Kit</t>
  </si>
  <si>
    <t>Energy</t>
  </si>
  <si>
    <t>Energy Meter / Submeter</t>
  </si>
  <si>
    <t>Water</t>
  </si>
  <si>
    <t>Water Meter / Flow Restrictor</t>
  </si>
  <si>
    <t>Air Quality Monitor / CO2 Sensor</t>
  </si>
  <si>
    <t>Envelope</t>
  </si>
  <si>
    <t>Thermal Insulation / High Performance Glazing</t>
  </si>
  <si>
    <t>Efficient Light Fixture</t>
  </si>
  <si>
    <t>Solar PV Panel / Inverter / Monitoring</t>
  </si>
  <si>
    <t>EV Charging</t>
  </si>
  <si>
    <t>EV Charging Station</t>
  </si>
  <si>
    <t>BEMS</t>
  </si>
  <si>
    <t>Building Energy Management System</t>
  </si>
  <si>
    <t>ESG</t>
  </si>
  <si>
    <t>Carbon Footprint Measurement / Energy Performance Report</t>
  </si>
  <si>
    <t>Design</t>
  </si>
  <si>
    <t>As-Built Drawings / O&amp;M Manuals</t>
  </si>
  <si>
    <t>Test Certificates</t>
  </si>
  <si>
    <t>Asset Register / Spare Parts List</t>
  </si>
  <si>
    <t>Contract Documents</t>
  </si>
  <si>
    <t>Permits</t>
  </si>
  <si>
    <t>Licenses &amp; Permits</t>
  </si>
  <si>
    <t>Maintenance</t>
  </si>
  <si>
    <t>Preventive / Corrective Maintenance</t>
  </si>
  <si>
    <t>Resources</t>
  </si>
  <si>
    <t>Staff Training Records</t>
  </si>
  <si>
    <t>Cleaning Services</t>
  </si>
  <si>
    <t>CAFM / CMMS</t>
  </si>
  <si>
    <t>Vendor Performance</t>
  </si>
  <si>
    <t>Cost Control</t>
  </si>
  <si>
    <t>KPI Reporting</t>
  </si>
  <si>
    <t>Fire‑BMS / Fire‑HVAC / Fire‑Security / Emergency Power / Elevator Recall / SPOF</t>
  </si>
  <si>
    <t>FM Staff Competency / Emergency Response Plan / Fire Drill Program / First Intervention / Control Room Procedures</t>
  </si>
  <si>
    <t>Remaining Useful Life Assessment / Asset Criticality Matrix</t>
  </si>
  <si>
    <t>Risk Register / Business Continuity Plan</t>
  </si>
  <si>
    <t>Digital Handover (BIM) / Asset Tagging System</t>
  </si>
  <si>
    <t>Visual Inspection</t>
  </si>
  <si>
    <t>Functional Test</t>
  </si>
  <si>
    <t>Test Method Categories</t>
  </si>
  <si>
    <t>Pressure/Flow Measurement</t>
  </si>
  <si>
    <t>Electrical Testing</t>
  </si>
  <si>
    <t>Water/Plumbing Testing</t>
  </si>
  <si>
    <t>Fire Safety Testing</t>
  </si>
  <si>
    <t>Structural Testing</t>
  </si>
  <si>
    <t>HVAC Testing</t>
  </si>
  <si>
    <t>Calibration &amp; Certification</t>
  </si>
  <si>
    <t>Records &amp; Documentation Review</t>
  </si>
  <si>
    <t>System Integration Testing</t>
  </si>
  <si>
    <t>Performance &amp; Efficiency Analysis</t>
  </si>
  <si>
    <t>Environmental &amp; Compliance Audit</t>
  </si>
  <si>
    <t>Specialist/Third-Party Reports</t>
  </si>
  <si>
    <t>Operational Procedure Verification</t>
  </si>
  <si>
    <t>Other</t>
  </si>
  <si>
    <t>Evidence Required</t>
  </si>
  <si>
    <t>Legal &amp; Municipal Approvals</t>
  </si>
  <si>
    <t>GC-LA-001</t>
  </si>
  <si>
    <t>Building Completion Certificate (Final)</t>
  </si>
  <si>
    <t>Certificate copy with date &amp; stamp</t>
  </si>
  <si>
    <t>GC-LA-002</t>
  </si>
  <si>
    <t>Occupancy License / Operational Permit</t>
  </si>
  <si>
    <t>Valid license with classification</t>
  </si>
  <si>
    <t>GC-LA-003</t>
  </si>
  <si>
    <t>Permit with all conditions met</t>
  </si>
  <si>
    <t>GC-LA-004</t>
  </si>
  <si>
    <t>Registration document with QR code</t>
  </si>
  <si>
    <t>GC-LA-005</t>
  </si>
  <si>
    <t>SBC Compliance Review Completion</t>
  </si>
  <si>
    <t>Signed compliance checklist</t>
  </si>
  <si>
    <t>GC-LA-006</t>
  </si>
  <si>
    <t>Civil Defense Approval (Fire &amp; Life Safety)</t>
  </si>
  <si>
    <t>Valid certificate with expiry date</t>
  </si>
  <si>
    <t>Utility Connections</t>
  </si>
  <si>
    <t>GC-UC-001</t>
  </si>
  <si>
    <t>Connection contract &amp; active account number</t>
  </si>
  <si>
    <t>GC-UC-002</t>
  </si>
  <si>
    <t>Water &amp; Sewerage Connection (Active – NWC)</t>
  </si>
  <si>
    <t>GC-UC-004</t>
  </si>
  <si>
    <t>Signed contract with collection schedule</t>
  </si>
  <si>
    <t>Safety Certificates</t>
  </si>
  <si>
    <t>GC-SC-001</t>
  </si>
  <si>
    <t>Elevator Inspection Certificate (Annual)</t>
  </si>
  <si>
    <t>Current inspection certificate</t>
  </si>
  <si>
    <t>GC-DC-001</t>
  </si>
  <si>
    <t>Complete As-Built Drawing Set (All Disciplines)</t>
  </si>
  <si>
    <t>Architectural, Structural, MEP, Fire, Security</t>
  </si>
  <si>
    <t>GC-DC-002</t>
  </si>
  <si>
    <t>Complete O&amp;M Manuals (All Systems, Indexed)</t>
  </si>
  <si>
    <t>OEM manuals + system operation guides</t>
  </si>
  <si>
    <t>GC-DC-003</t>
  </si>
  <si>
    <t>Commissioning Reports (All Systems, Signed)</t>
  </si>
  <si>
    <t>Final reports with authority signatures</t>
  </si>
  <si>
    <t>GC-DC-004</t>
  </si>
  <si>
    <t>Test Certificates Complete Set</t>
  </si>
  <si>
    <t>Electrical, Mechanical, Fire, Plumbing</t>
  </si>
  <si>
    <t>GC-DC-005</t>
  </si>
  <si>
    <t>Warranty Certificates (All Equipment)</t>
  </si>
  <si>
    <t>Warranties with start dates &amp; coverage</t>
  </si>
  <si>
    <t>GC-DC-006</t>
  </si>
  <si>
    <t>Asset Register (Complete with IDs)</t>
  </si>
  <si>
    <t>Digital register with serial numbers, locations</t>
  </si>
  <si>
    <t>GC-DC-007</t>
  </si>
  <si>
    <t>Spare Parts Inventory (Critical Items)</t>
  </si>
  <si>
    <t>Inventory list with storage location &amp; quantities</t>
  </si>
  <si>
    <t>GC-DC-008</t>
  </si>
  <si>
    <t>Fire Strategy &amp; Authority-Approved Drawings</t>
  </si>
  <si>
    <t>Strategy document matching as-built</t>
  </si>
  <si>
    <t>Operational Readiness</t>
  </si>
  <si>
    <t>GC-OR-001</t>
  </si>
  <si>
    <t>FM Team Training Complete (All Systems)</t>
  </si>
  <si>
    <t>Training records &amp; certificates</t>
  </si>
  <si>
    <t>GC-OR-002</t>
  </si>
  <si>
    <t>Critical Spare Parts On-Site &amp; Verified</t>
  </si>
  <si>
    <t>Inventory list with storage location</t>
  </si>
  <si>
    <t>GC-OR-003</t>
  </si>
  <si>
    <t>CMMS/CAFM Configured &amp; Populated</t>
  </si>
  <si>
    <t>System demonstration with all assets loaded</t>
  </si>
  <si>
    <t>GC-OR-004</t>
  </si>
  <si>
    <t>Maintenance Contracts in Place (All Systems)</t>
  </si>
  <si>
    <t>Signed contracts with SLAs &amp; response times</t>
  </si>
  <si>
    <t>GC-OR-005</t>
  </si>
  <si>
    <t>Emergency Response Plan Approved</t>
  </si>
  <si>
    <t>Approved plan with contact lists &amp; procedures</t>
  </si>
  <si>
    <t>GC-OR-006</t>
  </si>
  <si>
    <t>Fire Drill Conducted &amp; Documented (First)</t>
  </si>
  <si>
    <t>Drill report with observations &amp; improvements</t>
  </si>
  <si>
    <t>GC-OR-007</t>
  </si>
  <si>
    <t>BMS Points List &amp; Access Available</t>
  </si>
  <si>
    <t>Admin accounts &amp; backup access confirmed</t>
  </si>
  <si>
    <t>GC-OR-009</t>
  </si>
  <si>
    <t>Cleaning/Housekeeping Services Ready</t>
  </si>
  <si>
    <t>Contract &amp; staffing confirmed</t>
  </si>
  <si>
    <t>Governance &amp; Authorization</t>
  </si>
  <si>
    <t>GC-GV-001</t>
  </si>
  <si>
    <t>Owner/Government Approval to Operate</t>
  </si>
  <si>
    <t>Formal authorization letter</t>
  </si>
  <si>
    <t>GC-GV-006</t>
  </si>
  <si>
    <t>Defects Liability Period Agreement Signed</t>
  </si>
  <si>
    <t>Signed agreement with defect schedule &amp; period</t>
  </si>
  <si>
    <t>Compliance - Health &amp; Safety</t>
  </si>
  <si>
    <t>GC-HS-001</t>
  </si>
  <si>
    <t>Public Health &amp; Ventilation Compliance (Admin Use)</t>
  </si>
  <si>
    <t>Inspection report/certificate</t>
  </si>
  <si>
    <t>GC-HS-003</t>
  </si>
  <si>
    <t>Risk Register &amp; HSE Compliance</t>
  </si>
  <si>
    <t>Approved risk register &amp; mitigation plan</t>
  </si>
  <si>
    <t>GC-HS-004</t>
  </si>
  <si>
    <t>Training Records (HSE, Fire, Emergency)</t>
  </si>
  <si>
    <t>FM &amp; security staff certificates</t>
  </si>
  <si>
    <t>Environmental &amp; Sustainability</t>
  </si>
  <si>
    <t>GC-EC-005</t>
  </si>
  <si>
    <t>Energy Efficiency Baseline Established</t>
  </si>
  <si>
    <t>Baseline report with meter list</t>
  </si>
  <si>
    <t>This inspection was undertaken as a non-intrusive, visual, and advisory condition assessment based on information available and accessible at the time of inspection. The assessment does not constitute a statutory inspection, certification, commissioning, or authority approval, and does not replace inspections, tests, or certifications required by Civil Defense, municipalities, or other regulatory authorities.The scope of this assessment does not include detailed performance testing, commissioning, or compliance certification of life safety systems, including but not limited to fire-fighting systems, fire alarm systems, elevators, escalators, or other regulated systems, unless explicitly stated otherwise within the agreed scope of services. All findings, observations, and conclusions are limited to the apparent condition observed on the inspection date and are provided for decision-support purposes only. No express or implied warranty, guarantee, or representation is made regarding the future performance, compliance, or continued condition of the building or its systems. Dar Al Riyadh shall not be liable for any deterioration, failure, incident, non-compliance, or loss arising after the inspection date, or resulting from hidden defects, operational practices, maintenance deficiencies, design limitations, third-party actions, environmental conditions, or changes in regulatory requirements. Responsibility for regulatory compliance, operational safety, statutory approvals, and ongoing maintenance remains solely with the owner, operator, and/or appointed facility management entity.</t>
  </si>
  <si>
    <t>Fire &amp; Life Safety</t>
  </si>
  <si>
    <t>4. Review the Risk Criticality and priority in Building Assessment sheet.</t>
  </si>
  <si>
    <t>Risk Criticality (0-5)</t>
  </si>
  <si>
    <t>Risk Criticality</t>
  </si>
  <si>
    <t>Observation - Non-critical finding</t>
  </si>
  <si>
    <t>Low - Minor defect with limited impact</t>
  </si>
  <si>
    <t>Medium - Moderate operational or maintenance risk</t>
  </si>
  <si>
    <t>High - Significant safety or operational concern</t>
  </si>
  <si>
    <t xml:space="preserve">Critical - Severe safety or compliance risk </t>
  </si>
  <si>
    <t>Riyadh</t>
  </si>
  <si>
    <t>******</t>
  </si>
  <si>
    <t>*****</t>
  </si>
  <si>
    <t>Electrical Asâ€‘Built Drawings</t>
  </si>
  <si>
    <t>Fireâ€‘BMS / Fireâ€‘HVAC / Fireâ€‘Security / Emergency Power / Elevator Recall / SPOF</t>
  </si>
  <si>
    <t>FLS-03-A-001</t>
  </si>
  <si>
    <t>External - Service Yard</t>
  </si>
  <si>
    <t>FLS-03-D-002</t>
  </si>
  <si>
    <t>Level 02 - Office Area</t>
  </si>
  <si>
    <t>PHOTO-FIR-0002</t>
  </si>
  <si>
    <t>FLS-05-C-003</t>
  </si>
  <si>
    <t>PHOTO-FIR-0003</t>
  </si>
  <si>
    <t>FLS-03-C-004</t>
  </si>
  <si>
    <t>PHOTO-FIR-0004</t>
  </si>
  <si>
    <t>FLS-04-C-005</t>
  </si>
  <si>
    <t>Level 01 - Office Area</t>
  </si>
  <si>
    <t>PHOTO-FIR-0005</t>
  </si>
  <si>
    <t>FLS-02-C-006</t>
  </si>
  <si>
    <t>Staircase Core</t>
  </si>
  <si>
    <t>PHOTO-FIR-0006</t>
  </si>
  <si>
    <t>FLS-01-B-007</t>
  </si>
  <si>
    <t>Electrical Room - LV</t>
  </si>
  <si>
    <t>PHOTO-FIR-0007</t>
  </si>
  <si>
    <t>FLS-04-D-008</t>
  </si>
  <si>
    <t>PHOTO-FIR-0008</t>
  </si>
  <si>
    <t>FLS-03-A-009</t>
  </si>
  <si>
    <t>Parking - Basement</t>
  </si>
  <si>
    <t>PHOTO-FIR-0009</t>
  </si>
  <si>
    <t>FLS-05-C-010</t>
  </si>
  <si>
    <t>Roof - Mechanical Area</t>
  </si>
  <si>
    <t>PHOTO-FIR-0010</t>
  </si>
  <si>
    <t>FLS-B1-C-011</t>
  </si>
  <si>
    <t>PHOTO-FIR-0011</t>
  </si>
  <si>
    <t>FLS-01-C-012</t>
  </si>
  <si>
    <t>FLS-05-B-013</t>
  </si>
  <si>
    <t>FLS-G-C-014</t>
  </si>
  <si>
    <t>PHOTO-FIR-0014</t>
  </si>
  <si>
    <t>FLS-03-B-015</t>
  </si>
  <si>
    <t>Basement B1 - Plantroom</t>
  </si>
  <si>
    <t>PHOTO-FIR-0015</t>
  </si>
  <si>
    <t>FLS-G-B-016</t>
  </si>
  <si>
    <t>FLS-02-D-017</t>
  </si>
  <si>
    <t>PHOTO-FIR-0017</t>
  </si>
  <si>
    <t>FLS-02-B-018</t>
  </si>
  <si>
    <t>Level 03 - Office Area</t>
  </si>
  <si>
    <t>PHOTO-FIR-0018</t>
  </si>
  <si>
    <t>FLS-B1-B-019</t>
  </si>
  <si>
    <t>FLS-01-D-020</t>
  </si>
  <si>
    <t>PHOTO-FIR-0020</t>
  </si>
  <si>
    <t>FLS-B1-C-021</t>
  </si>
  <si>
    <t>PHOTO-FIR-0021</t>
  </si>
  <si>
    <t>FLS-03-B-022</t>
  </si>
  <si>
    <t>PHOTO-FIR-0022</t>
  </si>
  <si>
    <t>FLS-01-B-023</t>
  </si>
  <si>
    <t>PHOTO-FIR-0023</t>
  </si>
  <si>
    <t>FLS-B1-B-024</t>
  </si>
  <si>
    <t>PHOTO-FIR-0024</t>
  </si>
  <si>
    <t>FLS-04-C-025</t>
  </si>
  <si>
    <t>PHOTO-FIR-0025</t>
  </si>
  <si>
    <t>FLS-03-B-026</t>
  </si>
  <si>
    <t>PHOTO-FIR-0026</t>
  </si>
  <si>
    <t>FLS-04-D-027</t>
  </si>
  <si>
    <t>PHOTO-FIR-0027</t>
  </si>
  <si>
    <t>FLS-G-A-028</t>
  </si>
  <si>
    <t>PHOTO-FIR-0028</t>
  </si>
  <si>
    <t>FLS-04-A-029</t>
  </si>
  <si>
    <t>PHOTO-FIR-0029</t>
  </si>
  <si>
    <t>FLS-02-A-030</t>
  </si>
  <si>
    <t>PHOTO-FIR-0030</t>
  </si>
  <si>
    <t>FLS-02-A-031</t>
  </si>
  <si>
    <t>PHOTO-FIR-0031</t>
  </si>
  <si>
    <t>FLS-05-A-032</t>
  </si>
  <si>
    <t>PHOTO-FIR-0032</t>
  </si>
  <si>
    <t>FLS-03-C-033</t>
  </si>
  <si>
    <t>PHOTO-FIR-0033</t>
  </si>
  <si>
    <t>FLS-03-B-034</t>
  </si>
  <si>
    <t>PHOTO-FIR-0034</t>
  </si>
  <si>
    <t>FLS-04-D-035</t>
  </si>
  <si>
    <t>PHOTO-FIR-0035</t>
  </si>
  <si>
    <t>EL-02-A-036</t>
  </si>
  <si>
    <t>PHOTO-ELE-0036</t>
  </si>
  <si>
    <t>EL-04-A-037</t>
  </si>
  <si>
    <t>EL-G-A-038</t>
  </si>
  <si>
    <t>EL-02-D-039</t>
  </si>
  <si>
    <t>EL-B1-B-040</t>
  </si>
  <si>
    <t>Ground Floor - Lobby</t>
  </si>
  <si>
    <t>EL-03-D-041</t>
  </si>
  <si>
    <t>PHOTO-ELE-0041</t>
  </si>
  <si>
    <t>EL-04-B-042</t>
  </si>
  <si>
    <t>EL-G-B-043</t>
  </si>
  <si>
    <t>PHOTO-ELE-0043</t>
  </si>
  <si>
    <t>EL-02-A-044</t>
  </si>
  <si>
    <t>PHOTO-ELE-0044</t>
  </si>
  <si>
    <t>EL-02-B-045</t>
  </si>
  <si>
    <t>EL-02-A-046</t>
  </si>
  <si>
    <t>EL-02-C-047</t>
  </si>
  <si>
    <t>PHOTO-ELE-0047</t>
  </si>
  <si>
    <t>EL-G-A-048</t>
  </si>
  <si>
    <t>PHOTO-ELE-0048</t>
  </si>
  <si>
    <t>EL-04-A-049</t>
  </si>
  <si>
    <t>EL-01-A-050</t>
  </si>
  <si>
    <t>EL-B1-C-051</t>
  </si>
  <si>
    <t>EL-B1-D-052</t>
  </si>
  <si>
    <t>EL-02-D-053</t>
  </si>
  <si>
    <t>EL-01-A-054</t>
  </si>
  <si>
    <t>EL-03-A-055</t>
  </si>
  <si>
    <t>EL-B1-C-056</t>
  </si>
  <si>
    <t>EL-01-D-057</t>
  </si>
  <si>
    <t>PHOTO-ELE-0057</t>
  </si>
  <si>
    <t>EL-01-C-058</t>
  </si>
  <si>
    <t>EL-03-C-059</t>
  </si>
  <si>
    <t>PHOTO-ELE-0059</t>
  </si>
  <si>
    <t>EL-B1-A-060</t>
  </si>
  <si>
    <t>PHOTO-ELE-0060</t>
  </si>
  <si>
    <t>EL-B1-D-061</t>
  </si>
  <si>
    <t>EL-03-A-062</t>
  </si>
  <si>
    <t>PHOTO-ELE-0062</t>
  </si>
  <si>
    <t>EL-02-D-063</t>
  </si>
  <si>
    <t>EL-02-A-064</t>
  </si>
  <si>
    <t>PHOTO-ELE-0064</t>
  </si>
  <si>
    <t>EL-02-A-065</t>
  </si>
  <si>
    <t>EP-04-C-066</t>
  </si>
  <si>
    <t>PHOTO-EME-0066</t>
  </si>
  <si>
    <t>EP-05-C-067</t>
  </si>
  <si>
    <t>EP-01-D-068</t>
  </si>
  <si>
    <t>EP-05-A-069</t>
  </si>
  <si>
    <t>EP-02-D-070</t>
  </si>
  <si>
    <t>PHOTO-EME-0070</t>
  </si>
  <si>
    <t>HVAC-01-D-071</t>
  </si>
  <si>
    <t>HVAC-G-A-072</t>
  </si>
  <si>
    <t>PHOTO-MEC-0072</t>
  </si>
  <si>
    <t>HVAC-02-D-073</t>
  </si>
  <si>
    <t>HVAC-05-D-074</t>
  </si>
  <si>
    <t>PHOTO-MEC-0074</t>
  </si>
  <si>
    <t>HVAC-03-D-075</t>
  </si>
  <si>
    <t>PHOTO-MEC-0075</t>
  </si>
  <si>
    <t>HVAC-05-D-076</t>
  </si>
  <si>
    <t>HVAC-02-A-077</t>
  </si>
  <si>
    <t>PHOTO-MEC-0077</t>
  </si>
  <si>
    <t>HVAC-B1-D-078</t>
  </si>
  <si>
    <t>PHOTO-MEC-0078</t>
  </si>
  <si>
    <t>HVAC-05-A-079</t>
  </si>
  <si>
    <t>PHOTO-MEC-0079</t>
  </si>
  <si>
    <t>HVAC-B1-A-080</t>
  </si>
  <si>
    <t>PHOTO-MEC-0080</t>
  </si>
  <si>
    <t>HVAC-G-B-081</t>
  </si>
  <si>
    <t>PHOTO-MEC-0081</t>
  </si>
  <si>
    <t>HVAC-02-C-082</t>
  </si>
  <si>
    <t>PHOTO-MEC-0082</t>
  </si>
  <si>
    <t>HVAC-04-D-083</t>
  </si>
  <si>
    <t>PHOTO-MEC-0083</t>
  </si>
  <si>
    <t>HVAC-04-C-084</t>
  </si>
  <si>
    <t>PHOTO-MEC-0084</t>
  </si>
  <si>
    <t>HVAC-05-C-085</t>
  </si>
  <si>
    <t>PHOTO-MEC-0085</t>
  </si>
  <si>
    <t>HVAC-01-D-086</t>
  </si>
  <si>
    <t>PHOTO-MEC-0086</t>
  </si>
  <si>
    <t>HVAC-G-B-087</t>
  </si>
  <si>
    <t>PHOTO-MEC-0087</t>
  </si>
  <si>
    <t>HVAC-05-A-088</t>
  </si>
  <si>
    <t>HVAC-B1-D-089</t>
  </si>
  <si>
    <t>PHOTO-MEC-0089</t>
  </si>
  <si>
    <t>HVAC-02-A-090</t>
  </si>
  <si>
    <t>PHOTO-MEC-0090</t>
  </si>
  <si>
    <t>HVAC-04-D-091</t>
  </si>
  <si>
    <t>PHOTO-MEC-0091</t>
  </si>
  <si>
    <t>HVAC-04-D-092</t>
  </si>
  <si>
    <t>HVAC-B1-C-093</t>
  </si>
  <si>
    <t>HVAC-G-A-094</t>
  </si>
  <si>
    <t>HVAC-05-B-095</t>
  </si>
  <si>
    <t>HVAC-G-C-096</t>
  </si>
  <si>
    <t>HVAC-G-C-097</t>
  </si>
  <si>
    <t>HVAC-03-A-098</t>
  </si>
  <si>
    <t>PHOTO-MEC-0098</t>
  </si>
  <si>
    <t>HVAC-02-D-099</t>
  </si>
  <si>
    <t>PHOTO-MEC-0099</t>
  </si>
  <si>
    <t>HVAC-02-D-100</t>
  </si>
  <si>
    <t>PHOTO-MEC-0100</t>
  </si>
  <si>
    <t>HVAC-02-D-101</t>
  </si>
  <si>
    <t>PHOTO-MEC-0101</t>
  </si>
  <si>
    <t>HVAC-02-A-102</t>
  </si>
  <si>
    <t>PHOTO-MEC-0102</t>
  </si>
  <si>
    <t>HVAC-01-C-103</t>
  </si>
  <si>
    <t>PHOTO-MEC-0103</t>
  </si>
  <si>
    <t>HVAC-03-B-104</t>
  </si>
  <si>
    <t>PHOTO-MEC-0104</t>
  </si>
  <si>
    <t>HVAC-B1-B-105</t>
  </si>
  <si>
    <t>PLW-04-A-106</t>
  </si>
  <si>
    <t>PLW-01-A-107</t>
  </si>
  <si>
    <t>PLW-02-C-108</t>
  </si>
  <si>
    <t>PLW-B1-B-109</t>
  </si>
  <si>
    <t>PLW-02-D-110</t>
  </si>
  <si>
    <t>PLW-B1-D-111</t>
  </si>
  <si>
    <t>PHOTO-PLU-0111</t>
  </si>
  <si>
    <t>PLW-B1-C-112</t>
  </si>
  <si>
    <t>PHOTO-PLU-0112</t>
  </si>
  <si>
    <t>PLW-02-A-113</t>
  </si>
  <si>
    <t>PHOTO-PLU-0113</t>
  </si>
  <si>
    <t>PLW-05-C-114</t>
  </si>
  <si>
    <t>PLW-B1-B-115</t>
  </si>
  <si>
    <t>PLW-01-B-116</t>
  </si>
  <si>
    <t>PHOTO-PLU-0116</t>
  </si>
  <si>
    <t>PLW-02-D-117</t>
  </si>
  <si>
    <t>PHOTO-PLU-0117</t>
  </si>
  <si>
    <t>PLW-05-A-118</t>
  </si>
  <si>
    <t>PLW-04-A-119</t>
  </si>
  <si>
    <t>PHOTO-PLU-0119</t>
  </si>
  <si>
    <t>PLW-02-D-120</t>
  </si>
  <si>
    <t>PHOTO-PLU-0120</t>
  </si>
  <si>
    <t>PLW-05-B-121</t>
  </si>
  <si>
    <t>PHOTO-PLU-0121</t>
  </si>
  <si>
    <t>PLW-01-D-122</t>
  </si>
  <si>
    <t>PHOTO-PLU-0122</t>
  </si>
  <si>
    <t>PLW-01-C-123</t>
  </si>
  <si>
    <t>PHOTO-PLU-0123</t>
  </si>
  <si>
    <t>PLW-05-A-124</t>
  </si>
  <si>
    <t>PLW-02-C-125</t>
  </si>
  <si>
    <t>PLW-01-D-126</t>
  </si>
  <si>
    <t>PHOTO-PLU-0126</t>
  </si>
  <si>
    <t>PLW-G-C-127</t>
  </si>
  <si>
    <t>PLW-01-D-128</t>
  </si>
  <si>
    <t>PLW-B1-D-129</t>
  </si>
  <si>
    <t>PLW-B1-C-130</t>
  </si>
  <si>
    <t>PLW-01-B-131</t>
  </si>
  <si>
    <t>PLW-03-A-132</t>
  </si>
  <si>
    <t>PLW-03-D-133</t>
  </si>
  <si>
    <t>PLW-B1-D-134</t>
  </si>
  <si>
    <t>PHOTO-PLU-0134</t>
  </si>
  <si>
    <t>PLW-04-A-135</t>
  </si>
  <si>
    <t>PHOTO-PLU-0135</t>
  </si>
  <si>
    <t>PLW-02-D-136</t>
  </si>
  <si>
    <t>PHOTO-PLU-0136</t>
  </si>
  <si>
    <t>PLW-01-C-137</t>
  </si>
  <si>
    <t>PHOTO-PLU-0137</t>
  </si>
  <si>
    <t>PLW-05-C-138</t>
  </si>
  <si>
    <t>PLW-02-D-139</t>
  </si>
  <si>
    <t>PLW-B1-A-140</t>
  </si>
  <si>
    <t>GEN-04-C-141</t>
  </si>
  <si>
    <t>GEN-05-D-142</t>
  </si>
  <si>
    <t>PHOTO-GAS-0142</t>
  </si>
  <si>
    <t>GEN-01-C-143</t>
  </si>
  <si>
    <t>PHOTO-GAS-0143</t>
  </si>
  <si>
    <t>GEN-03-D-144</t>
  </si>
  <si>
    <t>PHOTO-GAS-0144</t>
  </si>
  <si>
    <t>GEN-G-A-145</t>
  </si>
  <si>
    <t>GEN-03-C-146</t>
  </si>
  <si>
    <t>GEN-G-D-147</t>
  </si>
  <si>
    <t>PHOTO-GAS-0147</t>
  </si>
  <si>
    <t>GEN-04-D-148</t>
  </si>
  <si>
    <t>PHOTO-GAS-0148</t>
  </si>
  <si>
    <t>GEN-02-C-149</t>
  </si>
  <si>
    <t>PHOTO-GAS-0149</t>
  </si>
  <si>
    <t>GEN-G-B-150</t>
  </si>
  <si>
    <t>GEN-G-C-151</t>
  </si>
  <si>
    <t>PHOTO-GAS-0151</t>
  </si>
  <si>
    <t>GEN-05-A-152</t>
  </si>
  <si>
    <t>GEN-02-C-153</t>
  </si>
  <si>
    <t>GEN-02-D-154</t>
  </si>
  <si>
    <t>PHOTO-GAS-0154</t>
  </si>
  <si>
    <t>GEN-05-C-155</t>
  </si>
  <si>
    <t>GEN-05-D-156</t>
  </si>
  <si>
    <t>PHOTO-GAS-0156</t>
  </si>
  <si>
    <t>GEN-03-D-157</t>
  </si>
  <si>
    <t>PHOTO-GAS-0157</t>
  </si>
  <si>
    <t>GEN-02-D-158</t>
  </si>
  <si>
    <t>GEN-01-A-159</t>
  </si>
  <si>
    <t>PHOTO-GAS-0159</t>
  </si>
  <si>
    <t>GEN-G-A-160</t>
  </si>
  <si>
    <t>GEN-03-A-161</t>
  </si>
  <si>
    <t>GEN-G-D-162</t>
  </si>
  <si>
    <t>PHOTO-GAS-0162</t>
  </si>
  <si>
    <t>GEN-02-A-163</t>
  </si>
  <si>
    <t>PHOTO-GAS-0163</t>
  </si>
  <si>
    <t>GEN-04-B-164</t>
  </si>
  <si>
    <t>GEN-G-A-165</t>
  </si>
  <si>
    <t>PHOTO-GAS-0165</t>
  </si>
  <si>
    <t>GEN-03-C-166</t>
  </si>
  <si>
    <t>GEN-03-D-167</t>
  </si>
  <si>
    <t>PHOTO-GAS-0167</t>
  </si>
  <si>
    <t>GEN-01-D-168</t>
  </si>
  <si>
    <t>GEN-01-A-169</t>
  </si>
  <si>
    <t>PHOTO-GAS-0169</t>
  </si>
  <si>
    <t>GEN-G-A-170</t>
  </si>
  <si>
    <t>GEN-04-D-171</t>
  </si>
  <si>
    <t>GEN-01-C-172</t>
  </si>
  <si>
    <t>GEN-B1-D-173</t>
  </si>
  <si>
    <t>PHOTO-GAS-0173</t>
  </si>
  <si>
    <t>GEN-01-D-174</t>
  </si>
  <si>
    <t>GEN-01-B-175</t>
  </si>
  <si>
    <t>PHOTO-GAS-0175</t>
  </si>
  <si>
    <t>VT-05-D-176</t>
  </si>
  <si>
    <t>VT-01-D-177</t>
  </si>
  <si>
    <t>PHOTO-VER-0177</t>
  </si>
  <si>
    <t>VT-02-C-178</t>
  </si>
  <si>
    <t>VT-02-B-179</t>
  </si>
  <si>
    <t>VT-03-D-180</t>
  </si>
  <si>
    <t>VT-05-D-181</t>
  </si>
  <si>
    <t>PHOTO-VER-0181</t>
  </si>
  <si>
    <t>VT-03-D-182</t>
  </si>
  <si>
    <t>VT-03-A-183</t>
  </si>
  <si>
    <t>VT-05-D-184</t>
  </si>
  <si>
    <t>VT-03-D-185</t>
  </si>
  <si>
    <t>PHOTO-VER-0185</t>
  </si>
  <si>
    <t>VT-02-B-186</t>
  </si>
  <si>
    <t>VT-05-A-187</t>
  </si>
  <si>
    <t>PHOTO-VER-0187</t>
  </si>
  <si>
    <t>VT-05-A-188</t>
  </si>
  <si>
    <t>VT-03-B-189</t>
  </si>
  <si>
    <t>VT-01-D-190</t>
  </si>
  <si>
    <t>PHOTO-VER-0190</t>
  </si>
  <si>
    <t>VT-B1-D-191</t>
  </si>
  <si>
    <t>VT-05-B-192</t>
  </si>
  <si>
    <t>VT-04-B-193</t>
  </si>
  <si>
    <t>VT-G-D-194</t>
  </si>
  <si>
    <t>VT-02-A-195</t>
  </si>
  <si>
    <t>VT-04-D-196</t>
  </si>
  <si>
    <t>VT-01-C-197</t>
  </si>
  <si>
    <t>PHOTO-VER-0197</t>
  </si>
  <si>
    <t>VT-B1-A-198</t>
  </si>
  <si>
    <t>VT-03-D-199</t>
  </si>
  <si>
    <t>VT-03-C-200</t>
  </si>
  <si>
    <t>VT-G-C-201</t>
  </si>
  <si>
    <t>VT-05-A-202</t>
  </si>
  <si>
    <t>VT-04-C-203</t>
  </si>
  <si>
    <t>VT-G-C-204</t>
  </si>
  <si>
    <t>VT-G-D-205</t>
  </si>
  <si>
    <t>VT-01-D-206</t>
  </si>
  <si>
    <t>VT-G-D-207</t>
  </si>
  <si>
    <t>VT-B1-A-208</t>
  </si>
  <si>
    <t>VT-03-D-209</t>
  </si>
  <si>
    <t>VT-04-B-210</t>
  </si>
  <si>
    <t>GEN-G-A-211</t>
  </si>
  <si>
    <t>PHOTO-BMS-0211</t>
  </si>
  <si>
    <t>GEN-02-A-212</t>
  </si>
  <si>
    <t>PHOTO-BMS-0212</t>
  </si>
  <si>
    <t>GEN-02-C-213</t>
  </si>
  <si>
    <t>GEN-03-B-214</t>
  </si>
  <si>
    <t>GEN-03-B-215</t>
  </si>
  <si>
    <t>GEN-04-D-216</t>
  </si>
  <si>
    <t>GEN-03-D-217</t>
  </si>
  <si>
    <t>PHOTO-BMS-0217</t>
  </si>
  <si>
    <t>GEN-G-A-218</t>
  </si>
  <si>
    <t>GEN-01-B-219</t>
  </si>
  <si>
    <t>PHOTO-BMS-0219</t>
  </si>
  <si>
    <t>GEN-02-A-220</t>
  </si>
  <si>
    <t>PHOTO-BMS-0220</t>
  </si>
  <si>
    <t>GEN-02-B-221</t>
  </si>
  <si>
    <t>GEN-B1-C-222</t>
  </si>
  <si>
    <t>PHOTO-BMS-0222</t>
  </si>
  <si>
    <t>GEN-02-B-223</t>
  </si>
  <si>
    <t>PHOTO-BMS-0223</t>
  </si>
  <si>
    <t>GEN-02-A-224</t>
  </si>
  <si>
    <t>PHOTO-BMS-0224</t>
  </si>
  <si>
    <t>GEN-01-C-225</t>
  </si>
  <si>
    <t>PHOTO-BMS-0225</t>
  </si>
  <si>
    <t>GEN-03-A-226</t>
  </si>
  <si>
    <t>PHOTO-BMS-0226</t>
  </si>
  <si>
    <t>GEN-B1-B-227</t>
  </si>
  <si>
    <t>PHOTO-BMS-0227</t>
  </si>
  <si>
    <t>GEN-G-D-228</t>
  </si>
  <si>
    <t>PHOTO-BMS-0228</t>
  </si>
  <si>
    <t>GEN-05-C-229</t>
  </si>
  <si>
    <t>PHOTO-BMS-0229</t>
  </si>
  <si>
    <t>GEN-02-D-230</t>
  </si>
  <si>
    <t>PHOTO-BMS-0230</t>
  </si>
  <si>
    <t>GEN-03-A-231</t>
  </si>
  <si>
    <t>PHOTO-BMS-0231</t>
  </si>
  <si>
    <t>GEN-03-B-232</t>
  </si>
  <si>
    <t>GEN-05-B-233</t>
  </si>
  <si>
    <t>PHOTO-BMS-0233</t>
  </si>
  <si>
    <t>GEN-05-B-234</t>
  </si>
  <si>
    <t>GEN-G-D-235</t>
  </si>
  <si>
    <t>PHOTO-BMS-0235</t>
  </si>
  <si>
    <t>GEN-05-B-236</t>
  </si>
  <si>
    <t>PHOTO-BMS-0236</t>
  </si>
  <si>
    <t>GEN-04-C-237</t>
  </si>
  <si>
    <t>GEN-05-A-238</t>
  </si>
  <si>
    <t>GEN-03-D-239</t>
  </si>
  <si>
    <t>PHOTO-BMS-0239</t>
  </si>
  <si>
    <t>GEN-02-D-240</t>
  </si>
  <si>
    <t>PHOTO-BMS-0240</t>
  </si>
  <si>
    <t>GEN-04-B-241</t>
  </si>
  <si>
    <t>GEN-B1-B-242</t>
  </si>
  <si>
    <t>PHOTO-BMS-0242</t>
  </si>
  <si>
    <t>GEN-04-B-243</t>
  </si>
  <si>
    <t>GEN-02-B-244</t>
  </si>
  <si>
    <t>PHOTO-BMS-0244</t>
  </si>
  <si>
    <t>GEN-05-B-245</t>
  </si>
  <si>
    <t>PHOTO-BMS-0245</t>
  </si>
  <si>
    <t>GEN-05-B-246</t>
  </si>
  <si>
    <t>GEN-04-D-247</t>
  </si>
  <si>
    <t>PHOTO-ELV-0247</t>
  </si>
  <si>
    <t>GEN-03-A-248</t>
  </si>
  <si>
    <t>PHOTO-ELV-0248</t>
  </si>
  <si>
    <t>GEN-B1-C-249</t>
  </si>
  <si>
    <t>GEN-02-D-250</t>
  </si>
  <si>
    <t>GEN-03-A-251</t>
  </si>
  <si>
    <t>GEN-B1-D-252</t>
  </si>
  <si>
    <t>PHOTO-ELV-0252</t>
  </si>
  <si>
    <t>GEN-02-C-253</t>
  </si>
  <si>
    <t>PHOTO-ELV-0253</t>
  </si>
  <si>
    <t>GEN-04-A-254</t>
  </si>
  <si>
    <t>GEN-B1-D-255</t>
  </si>
  <si>
    <t>PHOTO-ELV-0255</t>
  </si>
  <si>
    <t>GEN-G-A-256</t>
  </si>
  <si>
    <t>PHOTO-ELV-0256</t>
  </si>
  <si>
    <t>GEN-G-C-257</t>
  </si>
  <si>
    <t>PHOTO-ELV-0257</t>
  </si>
  <si>
    <t>GEN-02-A-258</t>
  </si>
  <si>
    <t>GEN-04-B-259</t>
  </si>
  <si>
    <t>PHOTO-ELV-0259</t>
  </si>
  <si>
    <t>GEN-04-B-260</t>
  </si>
  <si>
    <t>GEN-05-C-261</t>
  </si>
  <si>
    <t>PHOTO-ELV-0261</t>
  </si>
  <si>
    <t>GEN-04-C-262</t>
  </si>
  <si>
    <t>PHOTO-ELV-0262</t>
  </si>
  <si>
    <t>GEN-04-D-263</t>
  </si>
  <si>
    <t>GEN-04-C-264</t>
  </si>
  <si>
    <t>PHOTO-ELV-0264</t>
  </si>
  <si>
    <t>GEN-01-D-265</t>
  </si>
  <si>
    <t>PHOTO-ELV-0265</t>
  </si>
  <si>
    <t>GEN-G-C-266</t>
  </si>
  <si>
    <t>PHOTO-ELV-0266</t>
  </si>
  <si>
    <t>GEN-05-B-267</t>
  </si>
  <si>
    <t>PHOTO-ELV-0267</t>
  </si>
  <si>
    <t>GEN-05-B-268</t>
  </si>
  <si>
    <t>GEN-03-C-269</t>
  </si>
  <si>
    <t>GEN-B1-A-270</t>
  </si>
  <si>
    <t>GEN-01-B-271</t>
  </si>
  <si>
    <t>PHOTO-ELV-0271</t>
  </si>
  <si>
    <t>GEN-02-D-272</t>
  </si>
  <si>
    <t>PHOTO-ELV-0272</t>
  </si>
  <si>
    <t>GEN-02-D-273</t>
  </si>
  <si>
    <t>GEN-B1-D-274</t>
  </si>
  <si>
    <t>PHOTO-SEC-0274</t>
  </si>
  <si>
    <t>GEN-G-B-275</t>
  </si>
  <si>
    <t>PHOTO-SEC-0275</t>
  </si>
  <si>
    <t>GEN-G-B-276</t>
  </si>
  <si>
    <t>GEN-03-B-277</t>
  </si>
  <si>
    <t>PHOTO-SEC-0277</t>
  </si>
  <si>
    <t>GEN-B1-D-278</t>
  </si>
  <si>
    <t>PHOTO-SEC-0278</t>
  </si>
  <si>
    <t>GEN-B1-A-279</t>
  </si>
  <si>
    <t>GEN-03-A-280</t>
  </si>
  <si>
    <t>GEN-04-C-281</t>
  </si>
  <si>
    <t>PHOTO-SEC-0281</t>
  </si>
  <si>
    <t>GEN-05-A-282</t>
  </si>
  <si>
    <t>PHOTO-SEC-0282</t>
  </si>
  <si>
    <t>GEN-G-C-283</t>
  </si>
  <si>
    <t>PHOTO-SEC-0283</t>
  </si>
  <si>
    <t>GEN-04-A-284</t>
  </si>
  <si>
    <t>PHOTO-SEC-0284</t>
  </si>
  <si>
    <t>GEN-03-D-285</t>
  </si>
  <si>
    <t>GEN-01-A-286</t>
  </si>
  <si>
    <t>PHOTO-SEC-0286</t>
  </si>
  <si>
    <t>GEN-04-A-287</t>
  </si>
  <si>
    <t>GEN-04-C-288</t>
  </si>
  <si>
    <t>GEN-01-D-289</t>
  </si>
  <si>
    <t>GEN-B1-D-290</t>
  </si>
  <si>
    <t>PHOTO-SEC-0290</t>
  </si>
  <si>
    <t>GEN-01-B-291</t>
  </si>
  <si>
    <t>PHOTO-SEC-0291</t>
  </si>
  <si>
    <t>GEN-05-D-292</t>
  </si>
  <si>
    <t>GEN-03-B-293</t>
  </si>
  <si>
    <t>PHOTO-SEC-0293</t>
  </si>
  <si>
    <t>GEN-05-C-294</t>
  </si>
  <si>
    <t>GEN-05-D-295</t>
  </si>
  <si>
    <t>GEN-02-C-296</t>
  </si>
  <si>
    <t>PHOTO-SEC-0296</t>
  </si>
  <si>
    <t>GEN-B1-D-297</t>
  </si>
  <si>
    <t>PHOTO-SEC-0297</t>
  </si>
  <si>
    <t>GEN-05-A-298</t>
  </si>
  <si>
    <t>GEN-03-A-299</t>
  </si>
  <si>
    <t>PHOTO-SEC-0299</t>
  </si>
  <si>
    <t>GEN-G-A-300</t>
  </si>
  <si>
    <t>GEN-04-B-301</t>
  </si>
  <si>
    <t>PHOTO-SEC-0301</t>
  </si>
  <si>
    <t>GEN-G-D-302</t>
  </si>
  <si>
    <t>GEN-B1-B-303</t>
  </si>
  <si>
    <t>PHOTO-SEC-0303</t>
  </si>
  <si>
    <t>GEN-02-B-304</t>
  </si>
  <si>
    <t>PHOTO-SEC-0304</t>
  </si>
  <si>
    <t>GEN-02-D-305</t>
  </si>
  <si>
    <t>GEN-03-C-306</t>
  </si>
  <si>
    <t>GEN-04-C-307</t>
  </si>
  <si>
    <t>PHOTO-SEC-0307</t>
  </si>
  <si>
    <t>GEN-04-D-308</t>
  </si>
  <si>
    <t>GEN-04-D-309</t>
  </si>
  <si>
    <t>PHOTO-DIG-0309</t>
  </si>
  <si>
    <t>GEN-04-C-310</t>
  </si>
  <si>
    <t>GEN-02-A-311</t>
  </si>
  <si>
    <t>GEN-G-B-312</t>
  </si>
  <si>
    <t>GEN-01-A-313</t>
  </si>
  <si>
    <t>PHOTO-DIG-0313</t>
  </si>
  <si>
    <t>GEN-04-D-314</t>
  </si>
  <si>
    <t>PHOTO-DIG-0314</t>
  </si>
  <si>
    <t>GEN-01-B-315</t>
  </si>
  <si>
    <t>PHOTO-DIG-0315</t>
  </si>
  <si>
    <t>GEN-01-B-316</t>
  </si>
  <si>
    <t>PHOTO-DIG-0316</t>
  </si>
  <si>
    <t>GEN-02-B-317</t>
  </si>
  <si>
    <t>GEN-04-B-318</t>
  </si>
  <si>
    <t>GEN-05-A-319</t>
  </si>
  <si>
    <t>PHOTO-DIG-0319</t>
  </si>
  <si>
    <t>GEN-03-C-320</t>
  </si>
  <si>
    <t>PHOTO-DIG-0320</t>
  </si>
  <si>
    <t>GEN-03-A-321</t>
  </si>
  <si>
    <t>GEN-01-B-322</t>
  </si>
  <si>
    <t>GEN-05-D-323</t>
  </si>
  <si>
    <t>PHOTO-DIG-0323</t>
  </si>
  <si>
    <t>GEN-02-C-324</t>
  </si>
  <si>
    <t>PHOTO-DIG-0324</t>
  </si>
  <si>
    <t>GEN-05-A-325</t>
  </si>
  <si>
    <t>PHOTO-DIG-0325</t>
  </si>
  <si>
    <t>GEN-04-A-326</t>
  </si>
  <si>
    <t>GEN-B1-B-327</t>
  </si>
  <si>
    <t>PHOTO-DIG-0327</t>
  </si>
  <si>
    <t>GEN-03-A-328</t>
  </si>
  <si>
    <t>GEN-04-C-329</t>
  </si>
  <si>
    <t>GEN-B1-B-330</t>
  </si>
  <si>
    <t>GEN-03-D-331</t>
  </si>
  <si>
    <t>PHOTO-DIG-0331</t>
  </si>
  <si>
    <t>GEN-02-A-332</t>
  </si>
  <si>
    <t>PHOTO-DIG-0332</t>
  </si>
  <si>
    <t>GEN-01-C-333</t>
  </si>
  <si>
    <t>GEN-B1-B-334</t>
  </si>
  <si>
    <t>PHOTO-DIG-0334</t>
  </si>
  <si>
    <t>GEN-B1-C-335</t>
  </si>
  <si>
    <t>PHOTO-DIG-0335</t>
  </si>
  <si>
    <t>GEN-05-D-336</t>
  </si>
  <si>
    <t>PHOTO-DIG-0336</t>
  </si>
  <si>
    <t>GEN-03-A-337</t>
  </si>
  <si>
    <t>GEN-04-B-338</t>
  </si>
  <si>
    <t>PHOTO-DIG-0338</t>
  </si>
  <si>
    <t>GEN-01-D-339</t>
  </si>
  <si>
    <t>PHOTO-DIG-0339</t>
  </si>
  <si>
    <t>GEN-04-C-340</t>
  </si>
  <si>
    <t>PHOTO-DIG-0340</t>
  </si>
  <si>
    <t>GEN-03-D-341</t>
  </si>
  <si>
    <t>PHOTO-DIG-0341</t>
  </si>
  <si>
    <t>GEN-B1-A-342</t>
  </si>
  <si>
    <t>PHOTO-DIG-0342</t>
  </si>
  <si>
    <t>GEN-G-A-343</t>
  </si>
  <si>
    <t>PHOTO-DIG-0343</t>
  </si>
  <si>
    <t>STR-02-D-344</t>
  </si>
  <si>
    <t>PHOTO-STR-0344</t>
  </si>
  <si>
    <t>STR-05-B-345</t>
  </si>
  <si>
    <t>STR-02-A-346</t>
  </si>
  <si>
    <t>STR-B1-B-347</t>
  </si>
  <si>
    <t>PHOTO-STR-0347</t>
  </si>
  <si>
    <t>STR-B1-C-348</t>
  </si>
  <si>
    <t>STR-G-C-349</t>
  </si>
  <si>
    <t>PHOTO-STR-0349</t>
  </si>
  <si>
    <t>STR-B1-C-350</t>
  </si>
  <si>
    <t>STR-02-A-351</t>
  </si>
  <si>
    <t>PHOTO-STR-0351</t>
  </si>
  <si>
    <t>STR-B1-B-352</t>
  </si>
  <si>
    <t>STR-03-D-353</t>
  </si>
  <si>
    <t>STR-G-C-354</t>
  </si>
  <si>
    <t>PHOTO-STR-0354</t>
  </si>
  <si>
    <t>STR-03-A-355</t>
  </si>
  <si>
    <t>PHOTO-STR-0355</t>
  </si>
  <si>
    <t>STR-01-C-356</t>
  </si>
  <si>
    <t>STR-G-D-357</t>
  </si>
  <si>
    <t>PHOTO-STR-0357</t>
  </si>
  <si>
    <t>STR-03-B-358</t>
  </si>
  <si>
    <t>STR-G-B-359</t>
  </si>
  <si>
    <t>STR-04-A-360</t>
  </si>
  <si>
    <t>STR-B1-C-361</t>
  </si>
  <si>
    <t>PHOTO-STR-0361</t>
  </si>
  <si>
    <t>STR-04-B-362</t>
  </si>
  <si>
    <t>STR-01-C-363</t>
  </si>
  <si>
    <t>STR-03-A-364</t>
  </si>
  <si>
    <t>STR-04-A-365</t>
  </si>
  <si>
    <t>STR-03-D-366</t>
  </si>
  <si>
    <t>STR-05-B-367</t>
  </si>
  <si>
    <t>PHOTO-STR-0367</t>
  </si>
  <si>
    <t>STR-01-A-368</t>
  </si>
  <si>
    <t>STR-B1-A-369</t>
  </si>
  <si>
    <t>PHOTO-STR-0369</t>
  </si>
  <si>
    <t>STR-03-B-370</t>
  </si>
  <si>
    <t>PHOTO-STR-0370</t>
  </si>
  <si>
    <t>STR-02-D-371</t>
  </si>
  <si>
    <t>STR-G-B-372</t>
  </si>
  <si>
    <t>STR-02-B-373</t>
  </si>
  <si>
    <t>PHOTO-STR-0373</t>
  </si>
  <si>
    <t>STR-G-A-374</t>
  </si>
  <si>
    <t>STR-B1-B-375</t>
  </si>
  <si>
    <t>PHOTO-STR-0375</t>
  </si>
  <si>
    <t>STR-03-C-376</t>
  </si>
  <si>
    <t>STR-03-D-377</t>
  </si>
  <si>
    <t>STR-03-A-378</t>
  </si>
  <si>
    <t>GEN-01-A-379</t>
  </si>
  <si>
    <t>PHOTO-ARC-0379</t>
  </si>
  <si>
    <t>GEN-04-A-380</t>
  </si>
  <si>
    <t>GEN-04-C-381</t>
  </si>
  <si>
    <t>PHOTO-ARC-0381</t>
  </si>
  <si>
    <t>GEN-03-D-382</t>
  </si>
  <si>
    <t>PHOTO-ARC-0382</t>
  </si>
  <si>
    <t>GEN-04-B-383</t>
  </si>
  <si>
    <t>PHOTO-ARC-0383</t>
  </si>
  <si>
    <t>GEN-05-A-384</t>
  </si>
  <si>
    <t>PHOTO-ARC-0384</t>
  </si>
  <si>
    <t>GEN-03-C-385</t>
  </si>
  <si>
    <t>PHOTO-ARC-0385</t>
  </si>
  <si>
    <t>GEN-G-A-386</t>
  </si>
  <si>
    <t>GEN-01-D-387</t>
  </si>
  <si>
    <t>PHOTO-ARC-0387</t>
  </si>
  <si>
    <t>GEN-04-C-388</t>
  </si>
  <si>
    <t>PHOTO-ARC-0388</t>
  </si>
  <si>
    <t>GEN-02-D-389</t>
  </si>
  <si>
    <t>PHOTO-ARC-0389</t>
  </si>
  <si>
    <t>GEN-03-C-390</t>
  </si>
  <si>
    <t>GEN-02-A-391</t>
  </si>
  <si>
    <t>GEN-04-C-392</t>
  </si>
  <si>
    <t>PHOTO-ARC-0392</t>
  </si>
  <si>
    <t>GEN-G-C-393</t>
  </si>
  <si>
    <t>GEN-05-C-394</t>
  </si>
  <si>
    <t>PHOTO-ARC-0394</t>
  </si>
  <si>
    <t>GEN-03-C-395</t>
  </si>
  <si>
    <t>GEN-03-C-396</t>
  </si>
  <si>
    <t>PHOTO-ARC-0396</t>
  </si>
  <si>
    <t>GEN-B1-B-397</t>
  </si>
  <si>
    <t>PHOTO-ARC-0397</t>
  </si>
  <si>
    <t>GEN-01-B-398</t>
  </si>
  <si>
    <t>GEN-03-B-399</t>
  </si>
  <si>
    <t>GEN-02-A-400</t>
  </si>
  <si>
    <t>GEN-02-A-401</t>
  </si>
  <si>
    <t>PHOTO-ARC-0401</t>
  </si>
  <si>
    <t>GEN-01-A-402</t>
  </si>
  <si>
    <t>GEN-05-C-403</t>
  </si>
  <si>
    <t>GEN-05-B-404</t>
  </si>
  <si>
    <t>GEN-G-C-405</t>
  </si>
  <si>
    <t>GEN-02-B-406</t>
  </si>
  <si>
    <t>PHOTO-ARC-0406</t>
  </si>
  <si>
    <t>GEN-B1-A-407</t>
  </si>
  <si>
    <t>GEN-01-B-408</t>
  </si>
  <si>
    <t>GEN-05-C-409</t>
  </si>
  <si>
    <t>PHOTO-ARC-0409</t>
  </si>
  <si>
    <t>GEN-04-D-410</t>
  </si>
  <si>
    <t>PHOTO-ARC-0410</t>
  </si>
  <si>
    <t>GEN-01-C-411</t>
  </si>
  <si>
    <t>PHOTO-ARC-0411</t>
  </si>
  <si>
    <t>GEN-04-D-412</t>
  </si>
  <si>
    <t>PHOTO-ARC-0412</t>
  </si>
  <si>
    <t>GEN-02-D-413</t>
  </si>
  <si>
    <t>PHOTO-ARC-0413</t>
  </si>
  <si>
    <t>GEN-02-B-414</t>
  </si>
  <si>
    <t>GEN-G-C-415</t>
  </si>
  <si>
    <t>GEN-04-D-416</t>
  </si>
  <si>
    <t>PHOTO-EXT-0416</t>
  </si>
  <si>
    <t>GEN-01-D-417</t>
  </si>
  <si>
    <t>GEN-B1-D-418</t>
  </si>
  <si>
    <t>GEN-G-A-419</t>
  </si>
  <si>
    <t>GEN-04-A-420</t>
  </si>
  <si>
    <t>GEN-04-D-421</t>
  </si>
  <si>
    <t>GEN-B1-D-422</t>
  </si>
  <si>
    <t>PHOTO-EXT-0422</t>
  </si>
  <si>
    <t>GEN-04-A-423</t>
  </si>
  <si>
    <t>GEN-04-D-424</t>
  </si>
  <si>
    <t>GEN-03-C-425</t>
  </si>
  <si>
    <t>PHOTO-EXT-0425</t>
  </si>
  <si>
    <t>GEN-03-C-426</t>
  </si>
  <si>
    <t>GEN-04-D-427</t>
  </si>
  <si>
    <t>PHOTO-EXT-0427</t>
  </si>
  <si>
    <t>GEN-B1-A-428</t>
  </si>
  <si>
    <t>PHOTO-EXT-0428</t>
  </si>
  <si>
    <t>GEN-04-D-429</t>
  </si>
  <si>
    <t>GEN-04-D-430</t>
  </si>
  <si>
    <t>GEN-05-C-431</t>
  </si>
  <si>
    <t>PHOTO-EXT-0431</t>
  </si>
  <si>
    <t>GEN-G-B-432</t>
  </si>
  <si>
    <t>PHOTO-EXT-0432</t>
  </si>
  <si>
    <t>GEN-B1-B-433</t>
  </si>
  <si>
    <t>PHOTO-EXT-0433</t>
  </si>
  <si>
    <t>GEN-03-C-434</t>
  </si>
  <si>
    <t>GEN-02-D-435</t>
  </si>
  <si>
    <t>PHOTO-EXT-0435</t>
  </si>
  <si>
    <t>GEN-B1-C-436</t>
  </si>
  <si>
    <t>PHOTO-EXT-0436</t>
  </si>
  <si>
    <t>GEN-03-B-437</t>
  </si>
  <si>
    <t>PHOTO-EXT-0437</t>
  </si>
  <si>
    <t>GEN-03-D-438</t>
  </si>
  <si>
    <t>GEN-03-C-439</t>
  </si>
  <si>
    <t>PHOTO-EXT-0439</t>
  </si>
  <si>
    <t>GEN-02-A-440</t>
  </si>
  <si>
    <t>GEN-01-B-441</t>
  </si>
  <si>
    <t>GEN-G-B-442</t>
  </si>
  <si>
    <t>PHOTO-EXT-0442</t>
  </si>
  <si>
    <t>GEN-05-B-443</t>
  </si>
  <si>
    <t>PHOTO-EXT-0443</t>
  </si>
  <si>
    <t>GEN-05-D-444</t>
  </si>
  <si>
    <t>GEN-03-A-445</t>
  </si>
  <si>
    <t>GEN-G-A-446</t>
  </si>
  <si>
    <t>PHOTO-EXT-0446</t>
  </si>
  <si>
    <t>GEN-B1-C-447</t>
  </si>
  <si>
    <t>PHOTO-EXT-0447</t>
  </si>
  <si>
    <t>GEN-03-D-448</t>
  </si>
  <si>
    <t>GEN-01-B-449</t>
  </si>
  <si>
    <t>PHOTO-LAN-0449</t>
  </si>
  <si>
    <t>GEN-05-A-450</t>
  </si>
  <si>
    <t>GEN-G-B-451</t>
  </si>
  <si>
    <t>PHOTO-LAN-0451</t>
  </si>
  <si>
    <t>GEN-04-B-452</t>
  </si>
  <si>
    <t>PHOTO-LAN-0452</t>
  </si>
  <si>
    <t>GEN-05-A-453</t>
  </si>
  <si>
    <t>GEN-02-B-454</t>
  </si>
  <si>
    <t>PHOTO-LAN-0454</t>
  </si>
  <si>
    <t>GEN-05-B-455</t>
  </si>
  <si>
    <t>PHOTO-LAN-0455</t>
  </si>
  <si>
    <t>GEN-04-B-456</t>
  </si>
  <si>
    <t>PHOTO-LAN-0456</t>
  </si>
  <si>
    <t>GEN-02-C-457</t>
  </si>
  <si>
    <t>GEN-03-B-458</t>
  </si>
  <si>
    <t>PHOTO-LAN-0458</t>
  </si>
  <si>
    <t>GEN-G-D-459</t>
  </si>
  <si>
    <t>PHOTO-LAN-0459</t>
  </si>
  <si>
    <t>GEN-G-B-460</t>
  </si>
  <si>
    <t>PHOTO-LAN-0460</t>
  </si>
  <si>
    <t>GEN-03-D-461</t>
  </si>
  <si>
    <t>PHOTO-LAN-0461</t>
  </si>
  <si>
    <t>GEN-G-D-462</t>
  </si>
  <si>
    <t>GEN-01-A-463</t>
  </si>
  <si>
    <t>PHOTO-LAN-0463</t>
  </si>
  <si>
    <t>GEN-02-D-464</t>
  </si>
  <si>
    <t>GEN-B1-A-465</t>
  </si>
  <si>
    <t>GEN-B1-B-466</t>
  </si>
  <si>
    <t>GEN-01-B-467</t>
  </si>
  <si>
    <t>PHOTO-LAN-0467</t>
  </si>
  <si>
    <t>GEN-05-D-468</t>
  </si>
  <si>
    <t>PHOTO-LAN-0468</t>
  </si>
  <si>
    <t>GEN-G-C-469</t>
  </si>
  <si>
    <t>PHOTO-LAN-0469</t>
  </si>
  <si>
    <t>GEN-G-A-470</t>
  </si>
  <si>
    <t>PHOTO-LAN-0470</t>
  </si>
  <si>
    <t>GEN-02-C-471</t>
  </si>
  <si>
    <t>GEN-01-D-472</t>
  </si>
  <si>
    <t>PHOTO-LAN-0472</t>
  </si>
  <si>
    <t>GEN-02-C-473</t>
  </si>
  <si>
    <t>PHOTO-LAN-0473</t>
  </si>
  <si>
    <t>GEN-03-D-474</t>
  </si>
  <si>
    <t>PHOTO-LAN-0474</t>
  </si>
  <si>
    <t>GEN-04-B-475</t>
  </si>
  <si>
    <t>PHOTO-LAN-0475</t>
  </si>
  <si>
    <t>GEN-04-C-476</t>
  </si>
  <si>
    <t>PHOTO-LAN-0476</t>
  </si>
  <si>
    <t>GEN-01-C-477</t>
  </si>
  <si>
    <t>PHOTO-LAN-0477</t>
  </si>
  <si>
    <t>GEN-02-D-478</t>
  </si>
  <si>
    <t>GEN-B1-B-479</t>
  </si>
  <si>
    <t>GEN-G-A-480</t>
  </si>
  <si>
    <t>PHOTO-LAN-0480</t>
  </si>
  <si>
    <t>GEN-G-C-481</t>
  </si>
  <si>
    <t>GEN-05-D-482</t>
  </si>
  <si>
    <t>GEN-05-B-483</t>
  </si>
  <si>
    <t>PHOTO-LAN-0483</t>
  </si>
  <si>
    <t>GEN-01-D-484</t>
  </si>
  <si>
    <t>PHOTO-POO-0484</t>
  </si>
  <si>
    <t>GEN-01-C-485</t>
  </si>
  <si>
    <t>PHOTO-POO-0485</t>
  </si>
  <si>
    <t>GEN-G-C-486</t>
  </si>
  <si>
    <t>GEN-G-A-487</t>
  </si>
  <si>
    <t>GEN-03-C-488</t>
  </si>
  <si>
    <t>GEN-05-D-489</t>
  </si>
  <si>
    <t>PHOTO-POO-0489</t>
  </si>
  <si>
    <t>GEN-01-D-490</t>
  </si>
  <si>
    <t>PHOTO-POO-0490</t>
  </si>
  <si>
    <t>GEN-01-D-491</t>
  </si>
  <si>
    <t>GEN-05-A-492</t>
  </si>
  <si>
    <t>PHOTO-POO-0492</t>
  </si>
  <si>
    <t>GEN-02-A-493</t>
  </si>
  <si>
    <t>PHOTO-POO-0493</t>
  </si>
  <si>
    <t>GEN-03-B-494</t>
  </si>
  <si>
    <t>PHOTO-POO-0494</t>
  </si>
  <si>
    <t>GEN-B1-A-495</t>
  </si>
  <si>
    <t>PHOTO-POO-0495</t>
  </si>
  <si>
    <t>GEN-05-B-496</t>
  </si>
  <si>
    <t>GEN-04-C-497</t>
  </si>
  <si>
    <t>PHOTO-POO-0497</t>
  </si>
  <si>
    <t>GEN-B1-C-498</t>
  </si>
  <si>
    <t>PHOTO-POO-0498</t>
  </si>
  <si>
    <t>GEN-03-B-499</t>
  </si>
  <si>
    <t>PHOTO-POO-0499</t>
  </si>
  <si>
    <t>GEN-G-A-500</t>
  </si>
  <si>
    <t>PHOTO-POO-0500</t>
  </si>
  <si>
    <t>GEN-03-B-501</t>
  </si>
  <si>
    <t>GEN-03-D-502</t>
  </si>
  <si>
    <t>GEN-04-A-503</t>
  </si>
  <si>
    <t>GEN-04-C-504</t>
  </si>
  <si>
    <t>GEN-01-B-505</t>
  </si>
  <si>
    <t>PHOTO-POO-0505</t>
  </si>
  <si>
    <t>GEN-03-B-506</t>
  </si>
  <si>
    <t>PHOTO-POO-0506</t>
  </si>
  <si>
    <t>GEN-05-C-507</t>
  </si>
  <si>
    <t>PHOTO-POO-0507</t>
  </si>
  <si>
    <t>GEN-04-D-508</t>
  </si>
  <si>
    <t>PHOTO-POO-0508</t>
  </si>
  <si>
    <t>GEN-02-B-509</t>
  </si>
  <si>
    <t>PHOTO-POO-0509</t>
  </si>
  <si>
    <t>GEN-04-D-510</t>
  </si>
  <si>
    <t>GEN-B1-B-511</t>
  </si>
  <si>
    <t>PHOTO-POO-0511</t>
  </si>
  <si>
    <t>GEN-B1-C-512</t>
  </si>
  <si>
    <t>PHOTO-POO-0512</t>
  </si>
  <si>
    <t>GEN-05-D-513</t>
  </si>
  <si>
    <t>PHOTO-POO-0513</t>
  </si>
  <si>
    <t>GEN-04-B-514</t>
  </si>
  <si>
    <t>GEN-B1-D-515</t>
  </si>
  <si>
    <t>PHOTO-POO-0515</t>
  </si>
  <si>
    <t>GEN-03-B-516</t>
  </si>
  <si>
    <t>PHOTO-POO-0516</t>
  </si>
  <si>
    <t>GEN-B1-B-517</t>
  </si>
  <si>
    <t>GEN-01-B-518</t>
  </si>
  <si>
    <t>PHOTO-POO-0518</t>
  </si>
  <si>
    <t>GEN-G-D-519</t>
  </si>
  <si>
    <t>GEN-02-C-520</t>
  </si>
  <si>
    <t>GEN-04-A-521</t>
  </si>
  <si>
    <t>GEN-05-A-522</t>
  </si>
  <si>
    <t>PHOTO-WAS-0522</t>
  </si>
  <si>
    <t>GEN-02-A-523</t>
  </si>
  <si>
    <t>PHOTO-WAS-0523</t>
  </si>
  <si>
    <t>GEN-02-B-524</t>
  </si>
  <si>
    <t>PHOTO-WAS-0524</t>
  </si>
  <si>
    <t>GEN-B1-B-525</t>
  </si>
  <si>
    <t>PHOTO-WAS-0525</t>
  </si>
  <si>
    <t>GEN-B1-A-526</t>
  </si>
  <si>
    <t>GEN-04-B-527</t>
  </si>
  <si>
    <t>GEN-B1-B-528</t>
  </si>
  <si>
    <t>GEN-B1-D-529</t>
  </si>
  <si>
    <t>GEN-01-B-530</t>
  </si>
  <si>
    <t>GEN-03-B-531</t>
  </si>
  <si>
    <t>PHOTO-WAS-0531</t>
  </si>
  <si>
    <t>GEN-02-A-532</t>
  </si>
  <si>
    <t>GEN-04-B-533</t>
  </si>
  <si>
    <t>PHOTO-WAS-0533</t>
  </si>
  <si>
    <t>GEN-04-C-534</t>
  </si>
  <si>
    <t>GEN-02-B-535</t>
  </si>
  <si>
    <t>GEN-B1-C-536</t>
  </si>
  <si>
    <t>GEN-G-A-537</t>
  </si>
  <si>
    <t>PHOTO-WAS-0537</t>
  </si>
  <si>
    <t>GEN-01-B-538</t>
  </si>
  <si>
    <t>PHOTO-WAS-0538</t>
  </si>
  <si>
    <t>GEN-B1-D-539</t>
  </si>
  <si>
    <t>GEN-B1-A-540</t>
  </si>
  <si>
    <t>PHOTO-WAS-0540</t>
  </si>
  <si>
    <t>GEN-03-B-541</t>
  </si>
  <si>
    <t>PHOTO-WAS-0541</t>
  </si>
  <si>
    <t>GEN-01-A-542</t>
  </si>
  <si>
    <t>PHOTO-WAS-0542</t>
  </si>
  <si>
    <t>GEN-03-A-543</t>
  </si>
  <si>
    <t>PHOTO-WAS-0543</t>
  </si>
  <si>
    <t>GEN-B1-A-544</t>
  </si>
  <si>
    <t>PHOTO-WAS-0544</t>
  </si>
  <si>
    <t>GEN-G-D-545</t>
  </si>
  <si>
    <t>PHOTO-WAS-0545</t>
  </si>
  <si>
    <t>GEN-05-A-546</t>
  </si>
  <si>
    <t>GEN-05-A-547</t>
  </si>
  <si>
    <t>PHOTO-WAS-0547</t>
  </si>
  <si>
    <t>GEN-02-A-548</t>
  </si>
  <si>
    <t>GEN-G-A-549</t>
  </si>
  <si>
    <t>PHOTO-WAS-0549</t>
  </si>
  <si>
    <t>GEN-03-D-550</t>
  </si>
  <si>
    <t>PHOTO-WAS-0550</t>
  </si>
  <si>
    <t>GEN-02-C-551</t>
  </si>
  <si>
    <t>PHOTO-WAS-0551</t>
  </si>
  <si>
    <t>GEN-B1-B-552</t>
  </si>
  <si>
    <t>PHOTO-WAS-0552</t>
  </si>
  <si>
    <t>GEN-02-C-553</t>
  </si>
  <si>
    <t>SUS-02-C-554</t>
  </si>
  <si>
    <t>PHOTO-SUS-0554</t>
  </si>
  <si>
    <t>SUS-05-C-555</t>
  </si>
  <si>
    <t>PHOTO-SUS-0555</t>
  </si>
  <si>
    <t>SUS-02-B-556</t>
  </si>
  <si>
    <t>PHOTO-SUS-0556</t>
  </si>
  <si>
    <t>SUS-B1-C-557</t>
  </si>
  <si>
    <t>SUS-G-C-558</t>
  </si>
  <si>
    <t>SUS-G-A-559</t>
  </si>
  <si>
    <t>PHOTO-SUS-0559</t>
  </si>
  <si>
    <t>SUS-01-A-560</t>
  </si>
  <si>
    <t>SUS-01-A-561</t>
  </si>
  <si>
    <t>SUS-03-D-562</t>
  </si>
  <si>
    <t>PHOTO-SUS-0562</t>
  </si>
  <si>
    <t>SUS-01-D-563</t>
  </si>
  <si>
    <t>PHOTO-SUS-0563</t>
  </si>
  <si>
    <t>SUS-04-D-564</t>
  </si>
  <si>
    <t>PHOTO-SUS-0564</t>
  </si>
  <si>
    <t>SUS-B1-D-565</t>
  </si>
  <si>
    <t>PHOTO-SUS-0565</t>
  </si>
  <si>
    <t>SUS-G-B-566</t>
  </si>
  <si>
    <t>PHOTO-SUS-0566</t>
  </si>
  <si>
    <t>SUS-G-C-567</t>
  </si>
  <si>
    <t>PHOTO-SUS-0567</t>
  </si>
  <si>
    <t>SUS-04-B-568</t>
  </si>
  <si>
    <t>SUS-04-A-569</t>
  </si>
  <si>
    <t>PHOTO-SUS-0569</t>
  </si>
  <si>
    <t>SUS-01-B-570</t>
  </si>
  <si>
    <t>SUS-05-A-571</t>
  </si>
  <si>
    <t>PHOTO-SUS-0571</t>
  </si>
  <si>
    <t>SUS-05-B-572</t>
  </si>
  <si>
    <t>SUS-05-B-573</t>
  </si>
  <si>
    <t>PHOTO-SUS-0573</t>
  </si>
  <si>
    <t>SUS-B1-B-574</t>
  </si>
  <si>
    <t>PHOTO-SUS-0574</t>
  </si>
  <si>
    <t>SUS-B1-A-575</t>
  </si>
  <si>
    <t>SUS-02-A-576</t>
  </si>
  <si>
    <t>PHOTO-SUS-0576</t>
  </si>
  <si>
    <t>SUS-B1-A-577</t>
  </si>
  <si>
    <t>SUS-G-C-578</t>
  </si>
  <si>
    <t>SUS-03-A-579</t>
  </si>
  <si>
    <t>SUS-04-A-580</t>
  </si>
  <si>
    <t>PHOTO-SUS-0580</t>
  </si>
  <si>
    <t>SUS-02-D-581</t>
  </si>
  <si>
    <t>PHOTO-SUS-0581</t>
  </si>
  <si>
    <t>SUS-05-C-582</t>
  </si>
  <si>
    <t>PHOTO-SUS-0582</t>
  </si>
  <si>
    <t>SUS-G-D-583</t>
  </si>
  <si>
    <t>SUS-G-A-584</t>
  </si>
  <si>
    <t>PHOTO-SUS-0584</t>
  </si>
  <si>
    <t>SUS-04-B-585</t>
  </si>
  <si>
    <t>PHOTO-SUS-0585</t>
  </si>
  <si>
    <t>SUS-04-D-586</t>
  </si>
  <si>
    <t>PHOTO-SUS-0586</t>
  </si>
  <si>
    <t>SUS-02-C-587</t>
  </si>
  <si>
    <t>PHOTO-SUS-0587</t>
  </si>
  <si>
    <t>SUS-05-A-588</t>
  </si>
  <si>
    <t>PHOTO-SUS-0588</t>
  </si>
  <si>
    <t>GEN-05-D-589</t>
  </si>
  <si>
    <t>PHOTO-COM-0589</t>
  </si>
  <si>
    <t>GEN-05-A-590</t>
  </si>
  <si>
    <t>GEN-02-D-591</t>
  </si>
  <si>
    <t>GEN-02-B-592</t>
  </si>
  <si>
    <t>PHOTO-COM-0592</t>
  </si>
  <si>
    <t>GEN-03-A-593</t>
  </si>
  <si>
    <t>PHOTO-COM-0593</t>
  </si>
  <si>
    <t>GEN-02-C-594</t>
  </si>
  <si>
    <t>PHOTO-COM-0594</t>
  </si>
  <si>
    <t>GEN-B1-C-595</t>
  </si>
  <si>
    <t>GEN-02-D-596</t>
  </si>
  <si>
    <t>PHOTO-COM-0596</t>
  </si>
  <si>
    <t>GEN-01-D-597</t>
  </si>
  <si>
    <t>GEN-03-D-598</t>
  </si>
  <si>
    <t>GEN-05-A-599</t>
  </si>
  <si>
    <t>PHOTO-COM-0599</t>
  </si>
  <si>
    <t>GEN-01-D-600</t>
  </si>
  <si>
    <t>PHOTO-COM-0600</t>
  </si>
  <si>
    <t>GEN-03-A-601</t>
  </si>
  <si>
    <t>PHOTO-COM-0601</t>
  </si>
  <si>
    <t>GEN-01-A-602</t>
  </si>
  <si>
    <t>PHOTO-COM-0602</t>
  </si>
  <si>
    <t>GEN-G-C-603</t>
  </si>
  <si>
    <t>PHOTO-COM-0603</t>
  </si>
  <si>
    <t>GEN-G-A-604</t>
  </si>
  <si>
    <t>PHOTO-COM-0604</t>
  </si>
  <si>
    <t>GEN-01-C-605</t>
  </si>
  <si>
    <t>GEN-G-A-606</t>
  </si>
  <si>
    <t>GEN-G-A-607</t>
  </si>
  <si>
    <t>GEN-G-B-608</t>
  </si>
  <si>
    <t>PHOTO-COM-0608</t>
  </si>
  <si>
    <t>GEN-01-B-609</t>
  </si>
  <si>
    <t>PHOTO-COM-0609</t>
  </si>
  <si>
    <t>GEN-04-B-610</t>
  </si>
  <si>
    <t>PHOTO-COM-0610</t>
  </si>
  <si>
    <t>GEN-05-A-611</t>
  </si>
  <si>
    <t>PHOTO-COM-0611</t>
  </si>
  <si>
    <t>GEN-01-A-612</t>
  </si>
  <si>
    <t>PHOTO-COM-0612</t>
  </si>
  <si>
    <t>GEN-05-A-613</t>
  </si>
  <si>
    <t>GEN-05-B-614</t>
  </si>
  <si>
    <t>PHOTO-COM-0614</t>
  </si>
  <si>
    <t>GEN-04-D-615</t>
  </si>
  <si>
    <t>PHOTO-COM-0615</t>
  </si>
  <si>
    <t>GEN-05-D-616</t>
  </si>
  <si>
    <t>PHOTO-COM-0616</t>
  </si>
  <si>
    <t>GEN-01-B-617</t>
  </si>
  <si>
    <t>PHOTO-COM-0617</t>
  </si>
  <si>
    <t>GEN-B1-D-618</t>
  </si>
  <si>
    <t>PHOTO-COM-0618</t>
  </si>
  <si>
    <t>GEN-G-A-619</t>
  </si>
  <si>
    <t>PHOTO-COM-0619</t>
  </si>
  <si>
    <t>GEN-01-D-620</t>
  </si>
  <si>
    <t>PHOTO-COM-0620</t>
  </si>
  <si>
    <t>GEN-05-B-621</t>
  </si>
  <si>
    <t>GEN-B1-A-622</t>
  </si>
  <si>
    <t>PHOTO-COM-0622</t>
  </si>
  <si>
    <t>GEN-B1-C-623</t>
  </si>
  <si>
    <t>PHOTO-COM-0623</t>
  </si>
  <si>
    <t>GEN-01-D-624</t>
  </si>
  <si>
    <t>PHOTO-FM_-0624</t>
  </si>
  <si>
    <t>GEN-G-A-625</t>
  </si>
  <si>
    <t>GEN-05-C-626</t>
  </si>
  <si>
    <t>GEN-01-D-627</t>
  </si>
  <si>
    <t>GEN-G-D-628</t>
  </si>
  <si>
    <t>PHOTO-FM_-0628</t>
  </si>
  <si>
    <t>GEN-05-B-629</t>
  </si>
  <si>
    <t>PHOTO-FM_-0629</t>
  </si>
  <si>
    <t>GEN-03-A-630</t>
  </si>
  <si>
    <t>GEN-02-C-631</t>
  </si>
  <si>
    <t>PHOTO-FM_-0631</t>
  </si>
  <si>
    <t>GEN-02-C-632</t>
  </si>
  <si>
    <t>PHOTO-FM_-0632</t>
  </si>
  <si>
    <t>GEN-01-B-633</t>
  </si>
  <si>
    <t>PHOTO-FM_-0633</t>
  </si>
  <si>
    <t>GEN-G-B-634</t>
  </si>
  <si>
    <t>GEN-B1-C-635</t>
  </si>
  <si>
    <t>PHOTO-FM_-0635</t>
  </si>
  <si>
    <t>GEN-02-D-636</t>
  </si>
  <si>
    <t>PHOTO-FM_-0636</t>
  </si>
  <si>
    <t>GEN-04-D-637</t>
  </si>
  <si>
    <t>PHOTO-FM_-0637</t>
  </si>
  <si>
    <t>GEN-B1-D-638</t>
  </si>
  <si>
    <t>PHOTO-FM_-0638</t>
  </si>
  <si>
    <t>GEN-03-A-639</t>
  </si>
  <si>
    <t>PHOTO-FM_-0639</t>
  </si>
  <si>
    <t>GEN-05-A-640</t>
  </si>
  <si>
    <t>PHOTO-FM_-0640</t>
  </si>
  <si>
    <t>GEN-04-C-641</t>
  </si>
  <si>
    <t>PHOTO-FM_-0641</t>
  </si>
  <si>
    <t>GEN-04-C-642</t>
  </si>
  <si>
    <t>PHOTO-FM_-0642</t>
  </si>
  <si>
    <t>GEN-04-D-643</t>
  </si>
  <si>
    <t>GEN-B1-B-644</t>
  </si>
  <si>
    <t>GEN-05-B-645</t>
  </si>
  <si>
    <t>PHOTO-FM_-0645</t>
  </si>
  <si>
    <t>GEN-02-D-646</t>
  </si>
  <si>
    <t>GEN-02-D-647</t>
  </si>
  <si>
    <t>PHOTO-FM_-0647</t>
  </si>
  <si>
    <t>GEN-03-A-648</t>
  </si>
  <si>
    <t>PHOTO-FM_-0648</t>
  </si>
  <si>
    <t>GEN-02-D-649</t>
  </si>
  <si>
    <t>GEN-G-C-650</t>
  </si>
  <si>
    <t>PHOTO-FM_-0650</t>
  </si>
  <si>
    <t>GEN-04-A-651</t>
  </si>
  <si>
    <t>GEN-B1-C-652</t>
  </si>
  <si>
    <t>PHOTO-FM_-0652</t>
  </si>
  <si>
    <t>GEN-03-B-653</t>
  </si>
  <si>
    <t>GEN-04-A-654</t>
  </si>
  <si>
    <t>PHOTO-FM_-0654</t>
  </si>
  <si>
    <t>GEN-03-A-655</t>
  </si>
  <si>
    <t>PHOTO-FM_-0655</t>
  </si>
  <si>
    <t>GEN-G-C-656</t>
  </si>
  <si>
    <t>PHOTO-FM_-0656</t>
  </si>
  <si>
    <t>GEN-01-C-657</t>
  </si>
  <si>
    <t>GEN-05-D-658</t>
  </si>
  <si>
    <t>PHOTO-FM_-0658</t>
  </si>
  <si>
    <t>GEN-G-A-659</t>
  </si>
  <si>
    <t>PHOTO-GOV-0659</t>
  </si>
  <si>
    <t>GEN-03-A-660</t>
  </si>
  <si>
    <t>PHOTO-GOV-0660</t>
  </si>
  <si>
    <t>GEN-04-D-661</t>
  </si>
  <si>
    <t>GEN-05-B-662</t>
  </si>
  <si>
    <t>PHOTO-GOV-0662</t>
  </si>
  <si>
    <t>GEN-G-A-663</t>
  </si>
  <si>
    <t>PHOTO-GOV-0663</t>
  </si>
  <si>
    <t>GEN-04-D-664</t>
  </si>
  <si>
    <t>PHOTO-GOV-0664</t>
  </si>
  <si>
    <t>GEN-02-C-665</t>
  </si>
  <si>
    <t>GEN-04-B-666</t>
  </si>
  <si>
    <t>GEN-B1-A-667</t>
  </si>
  <si>
    <t>PHOTO-GOV-0667</t>
  </si>
  <si>
    <t>GEN-05-C-668</t>
  </si>
  <si>
    <t>GEN-03-B-669</t>
  </si>
  <si>
    <t>GEN-03-C-670</t>
  </si>
  <si>
    <t>PHOTO-GOV-0670</t>
  </si>
  <si>
    <t>GEN-01-C-671</t>
  </si>
  <si>
    <t>PHOTO-GOV-0671</t>
  </si>
  <si>
    <t>GEN-01-B-672</t>
  </si>
  <si>
    <t>PHOTO-GOV-0672</t>
  </si>
  <si>
    <t>GEN-05-D-673</t>
  </si>
  <si>
    <t>GEN-G-C-674</t>
  </si>
  <si>
    <t>PHOTO-GOV-0674</t>
  </si>
  <si>
    <t>GEN-05-B-675</t>
  </si>
  <si>
    <t>PHOTO-GOV-0675</t>
  </si>
  <si>
    <t>GEN-05-D-676</t>
  </si>
  <si>
    <t>GEN-B1-C-677</t>
  </si>
  <si>
    <t>GEN-02-C-678</t>
  </si>
  <si>
    <t>PHOTO-GOV-0678</t>
  </si>
  <si>
    <t>GEN-04-B-679</t>
  </si>
  <si>
    <t>GEN-01-C-680</t>
  </si>
  <si>
    <t>GEN-02-D-681</t>
  </si>
  <si>
    <t>PHOTO-GOV-0681</t>
  </si>
  <si>
    <t>GEN-01-D-682</t>
  </si>
  <si>
    <t>PHOTO-GOV-0682</t>
  </si>
  <si>
    <t>GEN-03-D-683</t>
  </si>
  <si>
    <t>GEN-01-C-684</t>
  </si>
  <si>
    <t>PHOTO-GOV-0684</t>
  </si>
  <si>
    <t>GEN-04-A-685</t>
  </si>
  <si>
    <t>PHOTO-GOV-0685</t>
  </si>
  <si>
    <t>GEN-04-C-686</t>
  </si>
  <si>
    <t>PHOTO-GOV-0686</t>
  </si>
  <si>
    <t>GEN-03-D-687</t>
  </si>
  <si>
    <t>GEN-03-A-688</t>
  </si>
  <si>
    <t>PHOTO-GOV-0688</t>
  </si>
  <si>
    <t>GEN-G-D-689</t>
  </si>
  <si>
    <t>GEN-05-B-690</t>
  </si>
  <si>
    <t>GEN-B1-C-691</t>
  </si>
  <si>
    <t>PHOTO-GOV-0691</t>
  </si>
  <si>
    <t>GEN-04-A-692</t>
  </si>
  <si>
    <t>PHOTO-GOV-0692</t>
  </si>
  <si>
    <t>GEN-04-D-693</t>
  </si>
  <si>
    <t>PHOTO-GOV-0693</t>
  </si>
  <si>
    <t>GEN-02-C-694</t>
  </si>
  <si>
    <t>PHOTO-GOV-0694</t>
  </si>
  <si>
    <t>Inspected and found generally compliant; minor observations noted (no immediate impact).</t>
  </si>
  <si>
    <t>Condition acceptable but requires attention; minor deficiencies observed. Trend indicates aging components; prioritize within next maintenance cycle.</t>
  </si>
  <si>
    <t>CAPA-0001</t>
  </si>
  <si>
    <t>Condition acceptable but requires attention; minor deficiencies observed. Preventive maintenance records incomplete; verify PM completion.</t>
  </si>
  <si>
    <t>CAPA-0002</t>
  </si>
  <si>
    <t>Condition acceptable but requires attention; minor deficiencies observed. Evidence captured; recommend rectification and re-test.</t>
  </si>
  <si>
    <t>CAPA-0003</t>
  </si>
  <si>
    <t>CAPA-0004</t>
  </si>
  <si>
    <t>22/08/2024</t>
  </si>
  <si>
    <t>Critical deficiency observed; immediate corrective action required to mitigate risk. Trend indicates aging components; prioritize within next maintenance cycle.</t>
  </si>
  <si>
    <t>CAPA-0005</t>
  </si>
  <si>
    <t>Non-compliance / degraded condition observed; corrective action required. Observed corrosion/dust accumulation due to harsh environment; clean and protect.</t>
  </si>
  <si>
    <t>CAPA-0006</t>
  </si>
  <si>
    <t>Condition acceptable but requires attention; minor deficiencies observed. Observed corrosion/dust accumulation due to harsh environment; clean and protect.</t>
  </si>
  <si>
    <t>CAPA-0007</t>
  </si>
  <si>
    <t>Critical deficiency observed; immediate corrective action required to mitigate risk. Preventive maintenance records incomplete; verify PM completion.</t>
  </si>
  <si>
    <t>-</t>
  </si>
  <si>
    <t>Not applicable for this building / scope.</t>
  </si>
  <si>
    <t>CAPA-0008</t>
  </si>
  <si>
    <t>Non-compliance / degraded condition observed; corrective action required. Evidence captured; recommend rectification and re-test.</t>
  </si>
  <si>
    <t>CAPA-0009</t>
  </si>
  <si>
    <t>CAPA-0010</t>
  </si>
  <si>
    <t>Non-compliance / degraded condition observed; corrective action required. Preventive maintenance records incomplete; verify PM completion.</t>
  </si>
  <si>
    <t>CAPA-0011</t>
  </si>
  <si>
    <t>CAPA-0012</t>
  </si>
  <si>
    <t>CAPA-0013</t>
  </si>
  <si>
    <t>CAPA-0014</t>
  </si>
  <si>
    <t>Condition acceptable but requires attention; minor deficiencies observed. Housekeeping and labeling improvements required.</t>
  </si>
  <si>
    <t>CAPA-0015</t>
  </si>
  <si>
    <t>CAPA-0016</t>
  </si>
  <si>
    <t>Critical deficiency observed; immediate corrective action required to mitigate risk. Housekeeping and labeling improvements required.</t>
  </si>
  <si>
    <t>CAPA-0017</t>
  </si>
  <si>
    <t>29/09/2024</t>
  </si>
  <si>
    <t>CAPA-0018</t>
  </si>
  <si>
    <t>CAPA-0019</t>
  </si>
  <si>
    <t>Non-compliance / degraded condition observed; corrective action required. Housekeeping and labeling improvements required.</t>
  </si>
  <si>
    <t>CAPA-0020</t>
  </si>
  <si>
    <t>CAPA-0021</t>
  </si>
  <si>
    <t>CAPA-0022</t>
  </si>
  <si>
    <t>Inspected and found fully compliant; no observations noted.</t>
  </si>
  <si>
    <t>Owner</t>
  </si>
  <si>
    <t>CAPA-0023</t>
  </si>
  <si>
    <t>CAPA-0024</t>
  </si>
  <si>
    <t>CAPA-0025</t>
  </si>
  <si>
    <t>CAPA-0026</t>
  </si>
  <si>
    <t>CAPA-0027</t>
  </si>
  <si>
    <t>CAPA-0028</t>
  </si>
  <si>
    <t>Non-compliance / degraded condition observed; corrective action required. Trend indicates aging components; prioritize within next maintenance cycle.</t>
  </si>
  <si>
    <t>CAPA-0029</t>
  </si>
  <si>
    <t>CAPA-0030</t>
  </si>
  <si>
    <t>CAPA-0031</t>
  </si>
  <si>
    <t>CAPA-0032</t>
  </si>
  <si>
    <t>CAPA-0033</t>
  </si>
  <si>
    <t>CAPA-0034</t>
  </si>
  <si>
    <t>CAPA-0035</t>
  </si>
  <si>
    <t>CAPA-0036</t>
  </si>
  <si>
    <t>CAPA-0037</t>
  </si>
  <si>
    <t>CAPA-0038</t>
  </si>
  <si>
    <t>CAPA-0039</t>
  </si>
  <si>
    <t>CAPA-0040</t>
  </si>
  <si>
    <t>CAPA-0041</t>
  </si>
  <si>
    <t>CAPA-0042</t>
  </si>
  <si>
    <t>CAPA-0043</t>
  </si>
  <si>
    <t>CAPA-0044</t>
  </si>
  <si>
    <t>CAPA-0045</t>
  </si>
  <si>
    <t>CAPA-0046</t>
  </si>
  <si>
    <t>CAPA-0047</t>
  </si>
  <si>
    <t>CAPA-0048</t>
  </si>
  <si>
    <t>CAPA-0049</t>
  </si>
  <si>
    <t>CAPA-0050</t>
  </si>
  <si>
    <t>CAPA-0051</t>
  </si>
  <si>
    <t>CAPA-0052</t>
  </si>
  <si>
    <t>CAPA-0053</t>
  </si>
  <si>
    <t>CAPA-0054</t>
  </si>
  <si>
    <t>CAPA-0055</t>
  </si>
  <si>
    <t>CAPA-0056</t>
  </si>
  <si>
    <t>CAPA-0057</t>
  </si>
  <si>
    <t>CAPA-0058</t>
  </si>
  <si>
    <t>CAPA-0059</t>
  </si>
  <si>
    <t>CAPA-0060</t>
  </si>
  <si>
    <t>CAPA-0061</t>
  </si>
  <si>
    <t>CAPA-0062</t>
  </si>
  <si>
    <t>CAPA-0063</t>
  </si>
  <si>
    <t>CAPA-0064</t>
  </si>
  <si>
    <t>CAPA-0065</t>
  </si>
  <si>
    <t>CAPA-0066</t>
  </si>
  <si>
    <t>CAPA-0067</t>
  </si>
  <si>
    <t>CAPA-0068</t>
  </si>
  <si>
    <t>CAPA-0069</t>
  </si>
  <si>
    <t>CAPA-0070</t>
  </si>
  <si>
    <t>CAPA-0071</t>
  </si>
  <si>
    <t>CAPA-0072</t>
  </si>
  <si>
    <t>CAPA-0073</t>
  </si>
  <si>
    <t>CAPA-0074</t>
  </si>
  <si>
    <t>CAPA-0075</t>
  </si>
  <si>
    <t>CAPA-0076</t>
  </si>
  <si>
    <t>CAPA-0077</t>
  </si>
  <si>
    <t>CAPA-0078</t>
  </si>
  <si>
    <t>CAPA-0079</t>
  </si>
  <si>
    <t>CAPA-0080</t>
  </si>
  <si>
    <t>CAPA-0081</t>
  </si>
  <si>
    <t>CAPA-0082</t>
  </si>
  <si>
    <t>CAPA-0083</t>
  </si>
  <si>
    <t>CAPA-0084</t>
  </si>
  <si>
    <t>CAPA-0085</t>
  </si>
  <si>
    <t>CAPA-0086</t>
  </si>
  <si>
    <t>CAPA-0087</t>
  </si>
  <si>
    <t>CAPA-0088</t>
  </si>
  <si>
    <t>CAPA-0089</t>
  </si>
  <si>
    <t>CAPA-0090</t>
  </si>
  <si>
    <t>CAPA-0091</t>
  </si>
  <si>
    <t>CAPA-0092</t>
  </si>
  <si>
    <t>CAPA-0093</t>
  </si>
  <si>
    <t>CAPA-0094</t>
  </si>
  <si>
    <t>CAPA-0095</t>
  </si>
  <si>
    <t>CAPA-0096</t>
  </si>
  <si>
    <t>CAPA-0097</t>
  </si>
  <si>
    <t>CAPA-0098</t>
  </si>
  <si>
    <t>CAPA-0099</t>
  </si>
  <si>
    <t>CAPA-0100</t>
  </si>
  <si>
    <t>CAPA-0101</t>
  </si>
  <si>
    <t>CAPA-0102</t>
  </si>
  <si>
    <t>CAPA-0103</t>
  </si>
  <si>
    <t>CAPA-0104</t>
  </si>
  <si>
    <t>CAPA-0105</t>
  </si>
  <si>
    <t>CAPA-0106</t>
  </si>
  <si>
    <t>CAPA-0107</t>
  </si>
  <si>
    <t>CAPA-0108</t>
  </si>
  <si>
    <t>CAPA-0109</t>
  </si>
  <si>
    <t>CAPA-0110</t>
  </si>
  <si>
    <t>CAPA-0111</t>
  </si>
  <si>
    <t>CAPA-0112</t>
  </si>
  <si>
    <t>CAPA-0113</t>
  </si>
  <si>
    <t>CAPA-0114</t>
  </si>
  <si>
    <t>CAPA-0115</t>
  </si>
  <si>
    <t>Critical deficiency observed; immediate corrective action required to mitigate risk. Evidence captured; recommend rectification and re-test.</t>
  </si>
  <si>
    <t>CAPA-0116</t>
  </si>
  <si>
    <t>CAPA-0117</t>
  </si>
  <si>
    <t>CAPA-0118</t>
  </si>
  <si>
    <t>CAPA-0119</t>
  </si>
  <si>
    <t>CAPA-0120</t>
  </si>
  <si>
    <t>CAPA-0121</t>
  </si>
  <si>
    <t>CAPA-0122</t>
  </si>
  <si>
    <t>CAPA-0123</t>
  </si>
  <si>
    <t>CAPA-0124</t>
  </si>
  <si>
    <t>CAPA-0125</t>
  </si>
  <si>
    <t>CAPA-0126</t>
  </si>
  <si>
    <t>CAPA-0127</t>
  </si>
  <si>
    <t>CAPA-0128</t>
  </si>
  <si>
    <t>CAPA-0129</t>
  </si>
  <si>
    <t>CAPA-0130</t>
  </si>
  <si>
    <t>CAPA-0131</t>
  </si>
  <si>
    <t>CAPA-0132</t>
  </si>
  <si>
    <t>CAPA-0133</t>
  </si>
  <si>
    <t>CAPA-0134</t>
  </si>
  <si>
    <t>CAPA-0135</t>
  </si>
  <si>
    <t>CAPA-0136</t>
  </si>
  <si>
    <t>CAPA-0137</t>
  </si>
  <si>
    <t>CAPA-0138</t>
  </si>
  <si>
    <t>CAPA-0139</t>
  </si>
  <si>
    <t>CAPA-0140</t>
  </si>
  <si>
    <t>CAPA-0141</t>
  </si>
  <si>
    <t>CAPA-0142</t>
  </si>
  <si>
    <t>CAPA-0143</t>
  </si>
  <si>
    <t>CAPA-0144</t>
  </si>
  <si>
    <t>CAPA-0145</t>
  </si>
  <si>
    <t>CAPA-0146</t>
  </si>
  <si>
    <t>CAPA-0147</t>
  </si>
  <si>
    <t>CAPA-0148</t>
  </si>
  <si>
    <t>CAPA-0149</t>
  </si>
  <si>
    <t>CAPA-0150</t>
  </si>
  <si>
    <t>CAPA-0151</t>
  </si>
  <si>
    <t>CAPA-0152</t>
  </si>
  <si>
    <t>CAPA-0153</t>
  </si>
  <si>
    <t>CAPA-0154</t>
  </si>
  <si>
    <t>CAPA-0155</t>
  </si>
  <si>
    <t>CAPA-0156</t>
  </si>
  <si>
    <t>CAPA-0157</t>
  </si>
  <si>
    <t>CAPA-0158</t>
  </si>
  <si>
    <t>CAPA-0159</t>
  </si>
  <si>
    <t>CAPA-0160</t>
  </si>
  <si>
    <t>CAPA-0161</t>
  </si>
  <si>
    <t>CAPA-0162</t>
  </si>
  <si>
    <t>CAPA-0163</t>
  </si>
  <si>
    <t>CAPA-0164</t>
  </si>
  <si>
    <t>CAPA-0165</t>
  </si>
  <si>
    <t>CAPA-0166</t>
  </si>
  <si>
    <t>CAPA-0167</t>
  </si>
  <si>
    <t>CAPA-0168</t>
  </si>
  <si>
    <t>CAPA-0169</t>
  </si>
  <si>
    <t>CAPA-0170</t>
  </si>
  <si>
    <t>CAPA-0171</t>
  </si>
  <si>
    <t>CAPA-0172</t>
  </si>
  <si>
    <t>CAPA-0173</t>
  </si>
  <si>
    <t>CAPA-0174</t>
  </si>
  <si>
    <t>CAPA-0175</t>
  </si>
  <si>
    <t>CAPA-0176</t>
  </si>
  <si>
    <t>CAPA-0177</t>
  </si>
  <si>
    <t>CAPA-0178</t>
  </si>
  <si>
    <t>CAPA-0179</t>
  </si>
  <si>
    <t>CAPA-0180</t>
  </si>
  <si>
    <t>CAPA-0181</t>
  </si>
  <si>
    <t>CAPA-0182</t>
  </si>
  <si>
    <t>CAPA-0183</t>
  </si>
  <si>
    <t>CAPA-0184</t>
  </si>
  <si>
    <t>CAPA-0185</t>
  </si>
  <si>
    <t>CAPA-0186</t>
  </si>
  <si>
    <t>CAPA-0187</t>
  </si>
  <si>
    <t>CAPA-0188</t>
  </si>
  <si>
    <t>CAPA-0189</t>
  </si>
  <si>
    <t>CAPA-0190</t>
  </si>
  <si>
    <t>CAPA-0191</t>
  </si>
  <si>
    <t>Critical deficiency observed; immediate corrective action required to mitigate risk. Observed corrosion/dust accumulation due to harsh environment; clean and protect.</t>
  </si>
  <si>
    <t>CAPA-0192</t>
  </si>
  <si>
    <t>CAPA-0193</t>
  </si>
  <si>
    <t>CAPA-0194</t>
  </si>
  <si>
    <t>CAPA-0195</t>
  </si>
  <si>
    <t>CAPA-0196</t>
  </si>
  <si>
    <t>CAPA-0197</t>
  </si>
  <si>
    <t>CAPA-0198</t>
  </si>
  <si>
    <t>CAPA-0199</t>
  </si>
  <si>
    <t>CAPA-0200</t>
  </si>
  <si>
    <t>.</t>
  </si>
  <si>
    <t>TR-001</t>
  </si>
  <si>
    <t>Fire Alarm Cause &amp; Effect Test</t>
  </si>
  <si>
    <t>NFPA 20/25</t>
  </si>
  <si>
    <t>Laptop + programming tool / panel access</t>
  </si>
  <si>
    <t>Ground + typical floor</t>
  </si>
  <si>
    <t>All devices report correctly; outputs match matrix; no faults</t>
  </si>
  <si>
    <t>All zones OK; 1 device delay 2s</t>
  </si>
  <si>
    <t>Pass</t>
  </si>
  <si>
    <t>FL-CD-026, FL-SB-004</t>
  </si>
  <si>
    <t>TR-001-FIR</t>
  </si>
  <si>
    <t>Client Rep</t>
  </si>
  <si>
    <t>TR-002</t>
  </si>
  <si>
    <t>Smoke/Heat Detector Functional Test (sample)</t>
  </si>
  <si>
    <t>SBC 801 (Fire Code)</t>
  </si>
  <si>
    <t>Test smoke / heat gun</t>
  </si>
  <si>
    <t>Random sample (10%)</t>
  </si>
  <si>
    <t>Alarm within manufacturer spec; address correct</t>
  </si>
  <si>
    <t>Response 3–8s; addresses OK</t>
  </si>
  <si>
    <t>FL-SB-004, FL-ZN-033, FL-PF-014</t>
  </si>
  <si>
    <t>TR-002-FIR</t>
  </si>
  <si>
    <t>TR-003</t>
  </si>
  <si>
    <t>Manual Call Point Activation Test (sample)</t>
  </si>
  <si>
    <t>Key + panel access</t>
  </si>
  <si>
    <t>Stair cores / exits (sample)</t>
  </si>
  <si>
    <t>Alarm activates; correct location displayed</t>
  </si>
  <si>
    <t>Activated OK; reset OK</t>
  </si>
  <si>
    <t>FL-FS-027, FL-VE-005, FL-FD-016</t>
  </si>
  <si>
    <t>TR-003-FIR</t>
  </si>
  <si>
    <t>TR-004</t>
  </si>
  <si>
    <t>Fire Pump Start &amp; Pressure Test</t>
  </si>
  <si>
    <t>Civil Defense Requirements</t>
  </si>
  <si>
    <t>Pressure gauge + flow meter</t>
  </si>
  <si>
    <t>Basement pump room</t>
  </si>
  <si>
    <t>Auto start; pressure within design; no abnormal vibration</t>
  </si>
  <si>
    <t>Pressure 7.0 bar (design 7.5)</t>
  </si>
  <si>
    <t>Need Attention</t>
  </si>
  <si>
    <t>FL-JP-008, FL-FD-015</t>
  </si>
  <si>
    <t>TR-004-FIR</t>
  </si>
  <si>
    <t>TR-005</t>
  </si>
  <si>
    <t>Jockey Pump Auto Cut-in/out Test</t>
  </si>
  <si>
    <t>Pressure gauge</t>
  </si>
  <si>
    <t>Cuts-in/out within setpoints</t>
  </si>
  <si>
    <t>Cut-in 6.6 bar; cut-out 7.2 bar</t>
  </si>
  <si>
    <t>FL-CD-026, FL-SB-004, FL-FD-015, FL-MCP-003</t>
  </si>
  <si>
    <t>TR-005-FIR</t>
  </si>
  <si>
    <t>TR-006</t>
  </si>
  <si>
    <t>Sprinkler System Visual + Valve Position Check</t>
  </si>
  <si>
    <t>NFPA 72</t>
  </si>
  <si>
    <t>Risers / control valves</t>
  </si>
  <si>
    <t>Valves sealed open; gauges normal; no leaks</t>
  </si>
  <si>
    <t>All OK; minor label missing</t>
  </si>
  <si>
    <t>FL-FS-027, FL-HH-010, FL-DR-035</t>
  </si>
  <si>
    <t>TR-006-FIR</t>
  </si>
  <si>
    <t>TR-007</t>
  </si>
  <si>
    <t>Hydrant/Hose Reel Flow Test (sample)</t>
  </si>
  <si>
    <t>Flow/pressure gauge</t>
  </si>
  <si>
    <t>Typical floor + basement</t>
  </si>
  <si>
    <t>Flow and pressure meet requirement; hose condition OK</t>
  </si>
  <si>
    <t>Basement reel kink noted</t>
  </si>
  <si>
    <t>FL-CA-012, FL-FP-007, FL-SE-013, FL-BI-024</t>
  </si>
  <si>
    <t>TR-007-FIR</t>
  </si>
  <si>
    <t>TR-008</t>
  </si>
  <si>
    <t>Emergency Lighting Duration Test (sample)</t>
  </si>
  <si>
    <t>Lux meter + timer</t>
  </si>
  <si>
    <t>Egress routes (sample)</t>
  </si>
  <si>
    <t>≥ 90 min autonomy; adequate illumination</t>
  </si>
  <si>
    <t>Autonomy 95 min; lux OK</t>
  </si>
  <si>
    <t>FL-SB-004, FL-PF-014, FL-SC-032, FL-DR-035</t>
  </si>
  <si>
    <t>TR-008-FIR</t>
  </si>
  <si>
    <t>MEP Supervisor</t>
  </si>
  <si>
    <t>TR-009</t>
  </si>
  <si>
    <t>Exit Sign Visibility Check</t>
  </si>
  <si>
    <t>Visual inspection</t>
  </si>
  <si>
    <t>All exits</t>
  </si>
  <si>
    <t>Signs illuminated and visible</t>
  </si>
  <si>
    <t>2 signs dim in corridor</t>
  </si>
  <si>
    <t>FL-MP-030, FL-BI-024, FL-ES-020</t>
  </si>
  <si>
    <t>TR-009-FIR</t>
  </si>
  <si>
    <t>FM Manager</t>
  </si>
  <si>
    <t>TR-010</t>
  </si>
  <si>
    <t>Civil Defense Certificates Review</t>
  </si>
  <si>
    <t>Document review</t>
  </si>
  <si>
    <t>Document set</t>
  </si>
  <si>
    <t>Valid certificates provided</t>
  </si>
  <si>
    <t>Some certificates not available on site</t>
  </si>
  <si>
    <t>FL-FD-016, FL-BT-006, FL-ES-020, FL-RS-034</t>
  </si>
  <si>
    <t>TR-010-FIR</t>
  </si>
  <si>
    <t>TR-011</t>
  </si>
  <si>
    <t>Main Feeder Insulation Resistance (Megger)</t>
  </si>
  <si>
    <t>IEEE Std 43 (IR)</t>
  </si>
  <si>
    <t>Insulation resistance tester (5kV)</t>
  </si>
  <si>
    <t>Main feeders (sample)</t>
  </si>
  <si>
    <t>IR meets acceptance; stable readings</t>
  </si>
  <si>
    <t>≥500 MΩ measured</t>
  </si>
  <si>
    <t>EL-FST-019, EL-ELX-010, EL-BMS-025, EL-LD-003</t>
  </si>
  <si>
    <t>TR-011-ELE</t>
  </si>
  <si>
    <t>TR-012</t>
  </si>
  <si>
    <t>Earth Resistance Test</t>
  </si>
  <si>
    <t>SBC 401 (Electrical)</t>
  </si>
  <si>
    <t>Earth tester</t>
  </si>
  <si>
    <t>Earthing pit(s) / main bar</t>
  </si>
  <si>
    <t>≤ 1–2 Ω (project spec)</t>
  </si>
  <si>
    <t>0.9 Ω measured</t>
  </si>
  <si>
    <t>EL-COM-030, EL-MTR-015</t>
  </si>
  <si>
    <t>TR-012-ELE</t>
  </si>
  <si>
    <t>TR-013</t>
  </si>
  <si>
    <t>Protection Relay / Breaker Trip Test (sample)</t>
  </si>
  <si>
    <t>Secondary injection kit</t>
  </si>
  <si>
    <t>MSB incomers / critical feeders</t>
  </si>
  <si>
    <t>Trips within settings; coordination OK</t>
  </si>
  <si>
    <t>Trip time within curve</t>
  </si>
  <si>
    <t>EL-CT-002, EL-OPS-027, EL-LD-003</t>
  </si>
  <si>
    <t>TR-013-ELE</t>
  </si>
  <si>
    <t>TR-014</t>
  </si>
  <si>
    <t>Power Quality (THD / imbalance) spot-check</t>
  </si>
  <si>
    <t>Power quality analyzer</t>
  </si>
  <si>
    <t>MSB + 2 DBs</t>
  </si>
  <si>
    <t>THD within project limits; imbalance within limit</t>
  </si>
  <si>
    <t>THD 3–5%; imbalance &lt;2%</t>
  </si>
  <si>
    <t>EL-SPR-028, EL-LBL-016, EL-BMS-025</t>
  </si>
  <si>
    <t>TR-014-ELE</t>
  </si>
  <si>
    <t>TR-015</t>
  </si>
  <si>
    <t>Thermal Scan of LV Boards</t>
  </si>
  <si>
    <t>Thermal camera</t>
  </si>
  <si>
    <t>MSB/DBs (critical)</t>
  </si>
  <si>
    <t>No hotspots &gt;20°C above ambient</t>
  </si>
  <si>
    <t>No abnormal hotspots</t>
  </si>
  <si>
    <t>EL-QA-032, EL-LD-003</t>
  </si>
  <si>
    <t>TR-015-ELE</t>
  </si>
  <si>
    <t>PMC Engineer</t>
  </si>
  <si>
    <t>TR-016</t>
  </si>
  <si>
    <t>RCD/ELCB Trip Time Test (sample)</t>
  </si>
  <si>
    <t>RCD tester</t>
  </si>
  <si>
    <t>Wet areas + pantry circuits</t>
  </si>
  <si>
    <t>Trip time within standard</t>
  </si>
  <si>
    <t>Trip 22–35 ms</t>
  </si>
  <si>
    <t>EL-OPS-027, EL-LD-003, EL-CT-002, EL-TRN-029</t>
  </si>
  <si>
    <t>TR-016-ELE</t>
  </si>
  <si>
    <t>TR-017</t>
  </si>
  <si>
    <t>Internal Lighting Lux Level Test (sample)</t>
  </si>
  <si>
    <t>Lux meter</t>
  </si>
  <si>
    <t>Open office areas (sample)</t>
  </si>
  <si>
    <t>Lux meets design</t>
  </si>
  <si>
    <t>350–520 lux</t>
  </si>
  <si>
    <t>EL-SPR-028, EL-CLR-017, EL-ENV-034</t>
  </si>
  <si>
    <t>TR-017-ELE</t>
  </si>
  <si>
    <t>TR-018</t>
  </si>
  <si>
    <t>External Lighting Coverage Check</t>
  </si>
  <si>
    <t>SBC 401/501</t>
  </si>
  <si>
    <t>Parking perimeter</t>
  </si>
  <si>
    <t>Uniformity and average lux meet spec</t>
  </si>
  <si>
    <t>Some dark spots</t>
  </si>
  <si>
    <t>EL-LBL-016, EL-PQ-006, EL-BMS-025</t>
  </si>
  <si>
    <t>TR-018-ELE</t>
  </si>
  <si>
    <t>TR-019</t>
  </si>
  <si>
    <t>Electrical As-built Drawings Review</t>
  </si>
  <si>
    <t>As-builts complete and updated</t>
  </si>
  <si>
    <t>Some revisions missing</t>
  </si>
  <si>
    <t>EL-TH-007, EL-COM-030</t>
  </si>
  <si>
    <t>TR-019-ELE</t>
  </si>
  <si>
    <t>TR-020</t>
  </si>
  <si>
    <t>Generator Auto-start &amp; Run Test</t>
  </si>
  <si>
    <t>NFPA 110</t>
  </si>
  <si>
    <t>Load bank (if available) / ATS simulation</t>
  </si>
  <si>
    <t>Generator room</t>
  </si>
  <si>
    <t>Starts within 10s; stable operation</t>
  </si>
  <si>
    <t>Start 7s; stable</t>
  </si>
  <si>
    <t>EL-ATS-013, EL-EML-022, EL-RES-035, EL-UPS-011</t>
  </si>
  <si>
    <t>TR-020-EME</t>
  </si>
  <si>
    <t>TR-021</t>
  </si>
  <si>
    <t>ATS Transfer Test</t>
  </si>
  <si>
    <t>ATS test procedure</t>
  </si>
  <si>
    <t>Main ATS</t>
  </si>
  <si>
    <t>Transfer within spec; no alarms</t>
  </si>
  <si>
    <t>Transfer smooth 8s</t>
  </si>
  <si>
    <t>EL-EML-022, EL-UPS-011, EL-GEN-012</t>
  </si>
  <si>
    <t>TR-021-EME</t>
  </si>
  <si>
    <t>TR-022</t>
  </si>
  <si>
    <t>UPS Autonomy Test (spot)</t>
  </si>
  <si>
    <t>Manufacturer O&amp;M</t>
  </si>
  <si>
    <t>Load simulator / UPS monitor</t>
  </si>
  <si>
    <t>UPS serving IT</t>
  </si>
  <si>
    <t>Autonomy meets design</t>
  </si>
  <si>
    <t>18 min (design 20)</t>
  </si>
  <si>
    <t>EL-EML-022, EL-UPS-011, EL-RES-035</t>
  </si>
  <si>
    <t>TR-022-EME</t>
  </si>
  <si>
    <t>TR-023</t>
  </si>
  <si>
    <t>Emergency DB Functional Check</t>
  </si>
  <si>
    <t>Multimeter + checklist</t>
  </si>
  <si>
    <t>Emergency DB(s)</t>
  </si>
  <si>
    <t>Feeds labeled; breakers OK</t>
  </si>
  <si>
    <t>Labels partially missing</t>
  </si>
  <si>
    <t>EL-GEN-012, EL-ATS-013</t>
  </si>
  <si>
    <t>TR-023-EME</t>
  </si>
  <si>
    <t>TR-024</t>
  </si>
  <si>
    <t>COP/EER Performance Spot-check</t>
  </si>
  <si>
    <t>ASHRAE 55</t>
  </si>
  <si>
    <t>BMS trends + portable meters</t>
  </si>
  <si>
    <t>Chiller plant</t>
  </si>
  <si>
    <t>Performance within tolerance</t>
  </si>
  <si>
    <t>COP slightly low</t>
  </si>
  <si>
    <t>ME-ALM-015, ME-COP-001, ME-TRN-032, ME-VAV-012</t>
  </si>
  <si>
    <t>TR-024-MEC</t>
  </si>
  <si>
    <t>TR-025</t>
  </si>
  <si>
    <t>Airflow Balancing (TAB) Verification</t>
  </si>
  <si>
    <t>CIBSE Guide B</t>
  </si>
  <si>
    <t>Anemometer + hood</t>
  </si>
  <si>
    <t>Selected AHUs/VAVs</t>
  </si>
  <si>
    <t>Within ±10% of design</t>
  </si>
  <si>
    <t>Within ±8%</t>
  </si>
  <si>
    <t>ME-DCT-010, ME-MNT-027</t>
  </si>
  <si>
    <t>TR-025-MEC</t>
  </si>
  <si>
    <t>TR-026</t>
  </si>
  <si>
    <t>Ventilation Effectiveness / CO₂ Check</t>
  </si>
  <si>
    <t>CO₂ meter</t>
  </si>
  <si>
    <t>Meeting rooms (sample)</t>
  </si>
  <si>
    <t>CO₂ &lt; 1000 ppm under typical load</t>
  </si>
  <si>
    <t>650–950 ppm</t>
  </si>
  <si>
    <t>ME-EXP-021, ME-FCU-009, ME-CLN-033, ME-NV-004</t>
  </si>
  <si>
    <t>TR-026-MEC</t>
  </si>
  <si>
    <t>TR-027</t>
  </si>
  <si>
    <t>Noise &amp; Vibration Test</t>
  </si>
  <si>
    <t>TAB Report / O&amp;M</t>
  </si>
  <si>
    <t>Sound level meter</t>
  </si>
  <si>
    <t>Server room + plant area</t>
  </si>
  <si>
    <t>Within specified limits</t>
  </si>
  <si>
    <t>Slightly high in server room</t>
  </si>
  <si>
    <t>ME-FIR-026, ME-PU-007, ME-TST-031</t>
  </si>
  <si>
    <t>TR-027-MEC</t>
  </si>
  <si>
    <t>TR-028</t>
  </si>
  <si>
    <t>CHW/CW Pump Duty Point Check</t>
  </si>
  <si>
    <t>ASHRAE 62.1</t>
  </si>
  <si>
    <t>Clamp meter + pressure gauges</t>
  </si>
  <si>
    <t>Pump room</t>
  </si>
  <si>
    <t>Operating near duty point</t>
  </si>
  <si>
    <t>Within range</t>
  </si>
  <si>
    <t>ME-CH-005, ME-CTRL-014</t>
  </si>
  <si>
    <t>TR-028-MEC</t>
  </si>
  <si>
    <t>TR-029</t>
  </si>
  <si>
    <t>AHU Condition &amp; Drainage Check</t>
  </si>
  <si>
    <t>AHU rooms</t>
  </si>
  <si>
    <t>Filters/coils clean; drain pans clear</t>
  </si>
  <si>
    <t>Filters dusty; cleaning required</t>
  </si>
  <si>
    <t>ME-WTR-022, ME-NV-004</t>
  </si>
  <si>
    <t>TR-029-MEC</t>
  </si>
  <si>
    <t>TR-030</t>
  </si>
  <si>
    <t>Fire/Smoke Damper Interface Test (sample)</t>
  </si>
  <si>
    <t>Functional test</t>
  </si>
  <si>
    <t>Selected dampers</t>
  </si>
  <si>
    <t>Closes on alarm; feedback to BMS</t>
  </si>
  <si>
    <t>1 damper feedback missing</t>
  </si>
  <si>
    <t>ME-DCT-010, ME-SNS-035, ME-PU-007, ME-ECN-024</t>
  </si>
  <si>
    <t>TR-030-MEC</t>
  </si>
  <si>
    <t>TR-031</t>
  </si>
  <si>
    <t>BMS Sequences Verification (HVAC)</t>
  </si>
  <si>
    <t>BMS workstation</t>
  </si>
  <si>
    <t>Selected zones</t>
  </si>
  <si>
    <t>Sequences match OPR; alarms configured</t>
  </si>
  <si>
    <t>Schedules need optimization</t>
  </si>
  <si>
    <t>ME-CTRL-014, ME-PRS-025</t>
  </si>
  <si>
    <t>TR-031-MEC</t>
  </si>
  <si>
    <t>TR-032</t>
  </si>
  <si>
    <t>Water Pressure Test (spot)</t>
  </si>
  <si>
    <t>Hydrostatic Test Procedure</t>
  </si>
  <si>
    <t>Upper floors (sample)</t>
  </si>
  <si>
    <t>Pressure within range</t>
  </si>
  <si>
    <t>Low at upper floors</t>
  </si>
  <si>
    <t>PL-PRS-023, PL-HMR-024, PL-SAN-031</t>
  </si>
  <si>
    <t>TR-032-PLU</t>
  </si>
  <si>
    <t>TR-033</t>
  </si>
  <si>
    <t>Booster Pump Auto Duty/Standby Test</t>
  </si>
  <si>
    <t>SBC Plumbing Code</t>
  </si>
  <si>
    <t>Checklist + gauges</t>
  </si>
  <si>
    <t>Duty/standby alternation works; stable pressure</t>
  </si>
  <si>
    <t>Auto alternation OK</t>
  </si>
  <si>
    <t>PL-TST-030, PL-SAN-031, PL-GW-020</t>
  </si>
  <si>
    <t>TR-033-PLU</t>
  </si>
  <si>
    <t>TR-034</t>
  </si>
  <si>
    <t>Leak Inspection - Wet Areas</t>
  </si>
  <si>
    <t>Toilets/pantries (sample)</t>
  </si>
  <si>
    <t>No leaks; traps intact</t>
  </si>
  <si>
    <t>Minor seepage under one basin</t>
  </si>
  <si>
    <t>PL-INS-022, PL-MH-017</t>
  </si>
  <si>
    <t>TR-034-PLU</t>
  </si>
  <si>
    <t>TR-035</t>
  </si>
  <si>
    <t>Backflow Preventer Verification</t>
  </si>
  <si>
    <t>Main incoming</t>
  </si>
  <si>
    <t>Installed and labeled; test port accessible</t>
  </si>
  <si>
    <t>PL-RSK-034, PL-FLW-002</t>
  </si>
  <si>
    <t>TR-035-PLU</t>
  </si>
  <si>
    <t>TR-036</t>
  </si>
  <si>
    <t>Elevator Functional Test + Ride Quality</t>
  </si>
  <si>
    <t>SASO / Civil Defense</t>
  </si>
  <si>
    <t>Elevator test tools</t>
  </si>
  <si>
    <t>All cars (sample)</t>
  </si>
  <si>
    <t>Smooth operation; leveling within tolerance</t>
  </si>
  <si>
    <t>VT-TC-010, VT-BL-035, VT-EC-002</t>
  </si>
  <si>
    <t>TR-036-VER</t>
  </si>
  <si>
    <t>TR-037</t>
  </si>
  <si>
    <t>Elevator Certificate Review</t>
  </si>
  <si>
    <t>EN 81</t>
  </si>
  <si>
    <t>Certificate file</t>
  </si>
  <si>
    <t>Valid certificates available</t>
  </si>
  <si>
    <t>VT-BS-006, VT-IC-017, VT-GT-034, VT-BL-024</t>
  </si>
  <si>
    <t>TR-037-VER</t>
  </si>
  <si>
    <t>TR-038</t>
  </si>
  <si>
    <t>BMS Point-to-Point Test (sample)</t>
  </si>
  <si>
    <t>BACnet / BMS O&amp;M</t>
  </si>
  <si>
    <t>Critical points (sample)</t>
  </si>
  <si>
    <t>Points match field; correct scaling</t>
  </si>
  <si>
    <t>Some points mis-labeled</t>
  </si>
  <si>
    <t>BM-KP-035, BM-PT-033</t>
  </si>
  <si>
    <t>TR-038-BMS</t>
  </si>
  <si>
    <t>TR-039</t>
  </si>
  <si>
    <t>Alarm Management &amp; Trending Review</t>
  </si>
  <si>
    <t>Point-to-Point Checklists</t>
  </si>
  <si>
    <t>Alarms/trends</t>
  </si>
  <si>
    <t>Alarms configured; trends available</t>
  </si>
  <si>
    <t>Trend database gaps</t>
  </si>
  <si>
    <t>BM-HI-013, BM-UA-016</t>
  </si>
  <si>
    <t>TR-039-BMS</t>
  </si>
  <si>
    <t>TR-040</t>
  </si>
  <si>
    <t>IEC 60364</t>
  </si>
  <si>
    <t>Basement + roof plantrooms</t>
  </si>
  <si>
    <t>EL-IR-001, EL-TST-031, EL-LX-009, EL-GND-020</t>
  </si>
  <si>
    <t>TR-040-ELE</t>
  </si>
  <si>
    <t>TR-041</t>
  </si>
  <si>
    <t>EL-LBL-016, EL-LD-003, EL-RCD-008</t>
  </si>
  <si>
    <t>TR-041-ELE</t>
  </si>
  <si>
    <t>TR-042</t>
  </si>
  <si>
    <t>Random sample (5%)</t>
  </si>
  <si>
    <t>EL-GND-020, EL-BMS-025</t>
  </si>
  <si>
    <t>TR-042-ELE</t>
  </si>
  <si>
    <t>TR-043</t>
  </si>
  <si>
    <t>Critical areas only</t>
  </si>
  <si>
    <t>FL-JP-008, FL-HS-025</t>
  </si>
  <si>
    <t>TR-043-FIR</t>
  </si>
  <si>
    <t>TR-044</t>
  </si>
  <si>
    <t>ME-CT-006, ME-FIR-026, ME-DOC-030</t>
  </si>
  <si>
    <t>TR-044-MEC</t>
  </si>
  <si>
    <t>TR-045</t>
  </si>
  <si>
    <t>FL-HH-010, FL-MP-030</t>
  </si>
  <si>
    <t>TR-045-FIR</t>
  </si>
  <si>
    <t>TR-046</t>
  </si>
  <si>
    <t>EL-PRF-023, EL-PR-005, EL-IR-001, EL-TST-031</t>
  </si>
  <si>
    <t>TR-046-ELE</t>
  </si>
  <si>
    <t>TR-047</t>
  </si>
  <si>
    <t>PL-BFP-014, PL-FLW-002</t>
  </si>
  <si>
    <t>TR-047-PLU</t>
  </si>
  <si>
    <t>TR-048</t>
  </si>
  <si>
    <t>EL-LX-009, EL-PRF-023, EL-EXB-018</t>
  </si>
  <si>
    <t>TR-048-ELE</t>
  </si>
  <si>
    <t>TR-049</t>
  </si>
  <si>
    <t>FL-RS-034, FL-FS-027, FL-ZN-033, FL-SS-009</t>
  </si>
  <si>
    <t>TR-049-FIR</t>
  </si>
  <si>
    <t>TR-050</t>
  </si>
  <si>
    <t>FL-CP-001, FL-HH-010, FL-CA-012, FL-FI-031</t>
  </si>
  <si>
    <t>TR-050-FIR</t>
  </si>
  <si>
    <t>TR-051</t>
  </si>
  <si>
    <t>PL-RSK-034, PL-SAN-031, PL-DIS-007, PL-LK-004</t>
  </si>
  <si>
    <t>TR-051-PLU</t>
  </si>
  <si>
    <t>TR-052</t>
  </si>
  <si>
    <t>EL-FST-019, EL-PRF-023, EL-IR-001, EL-COM-030</t>
  </si>
  <si>
    <t>TR-052-ELE</t>
  </si>
  <si>
    <t>TR-053</t>
  </si>
  <si>
    <t>ME-ACC-029, ME-CLN-033, ME-SNS-035</t>
  </si>
  <si>
    <t>TR-053-MEC</t>
  </si>
  <si>
    <t>TR-054</t>
  </si>
  <si>
    <t>PL-DOC-029, PL-MIC-009</t>
  </si>
  <si>
    <t>TR-054-PLU</t>
  </si>
  <si>
    <t>TR-055</t>
  </si>
  <si>
    <t>FL-FD-016, FL-TC-028</t>
  </si>
  <si>
    <t>TR-055-FIR</t>
  </si>
  <si>
    <t>TR-056</t>
  </si>
  <si>
    <t>EL-IRN-026, EL-OPS-027, EL-LBL-016, EL-PR-005</t>
  </si>
  <si>
    <t>TR-056-ELE</t>
  </si>
  <si>
    <t>TR-057</t>
  </si>
  <si>
    <t>FL-CD-026, FL-SC-032</t>
  </si>
  <si>
    <t>TR-057-FIR</t>
  </si>
  <si>
    <t>TR-058</t>
  </si>
  <si>
    <t>FL-ZN-033, FL-CD-026, FL-ER-022</t>
  </si>
  <si>
    <t>TR-058-FIR</t>
  </si>
  <si>
    <t>TR-059</t>
  </si>
  <si>
    <t>EL-LBL-016, EL-IR-001, EL-MTR-015, EL-PRF-023</t>
  </si>
  <si>
    <t>TR-059-ELE</t>
  </si>
  <si>
    <t>TR-060</t>
  </si>
  <si>
    <t>ME-LK-019, ME-CLN-033, ME-CH-005, ME-AHU-008</t>
  </si>
  <si>
    <t>TR-060-MEC</t>
  </si>
  <si>
    <t>TR-061</t>
  </si>
  <si>
    <t>FL-MCP-003, FL-CA-012, FL-FS-018</t>
  </si>
  <si>
    <t>TR-061-FIR</t>
  </si>
  <si>
    <t>TR-062</t>
  </si>
  <si>
    <t>SBC Mechanical</t>
  </si>
  <si>
    <t>ME-SNS-035, ME-CLN-033</t>
  </si>
  <si>
    <t>TR-062-MEC</t>
  </si>
  <si>
    <t>TR-063</t>
  </si>
  <si>
    <t>PL-LK-004, PL-REC-012, PL-ACC-028</t>
  </si>
  <si>
    <t>TR-063-PLU</t>
  </si>
  <si>
    <t>TR-064</t>
  </si>
  <si>
    <t>EL-BMS-025, EL-SAF-033</t>
  </si>
  <si>
    <t>TR-064-ELE</t>
  </si>
  <si>
    <t>TR-065</t>
  </si>
  <si>
    <t>FL-ER-022, FL-FS-027</t>
  </si>
  <si>
    <t>TR-065-FIR</t>
  </si>
  <si>
    <t>TR-066</t>
  </si>
  <si>
    <t>EL-LX-009, EL-CT-002</t>
  </si>
  <si>
    <t>TR-066-ELE</t>
  </si>
  <si>
    <t>TR-067</t>
  </si>
  <si>
    <t>ME-LK-019, ME-ACC-029</t>
  </si>
  <si>
    <t>TR-067-MEC</t>
  </si>
  <si>
    <t>TR-068</t>
  </si>
  <si>
    <t>IEC 62040 (UPS)</t>
  </si>
  <si>
    <t>EL-GEN-012, EL-RES-035, EL-EML-022</t>
  </si>
  <si>
    <t>TR-068-EME</t>
  </si>
  <si>
    <t>TR-069</t>
  </si>
  <si>
    <t>ME-PU-007, ME-SPR-028, ME-TRN-032</t>
  </si>
  <si>
    <t>TR-069-MEC</t>
  </si>
  <si>
    <t>TR-070</t>
  </si>
  <si>
    <t>PL-PMP-015, PL-INS-022</t>
  </si>
  <si>
    <t>TR-070-PLU</t>
  </si>
  <si>
    <t>TR-071</t>
  </si>
  <si>
    <t>EL-IR-001, EL-LD-003</t>
  </si>
  <si>
    <t>TR-071-ELE</t>
  </si>
  <si>
    <t>TR-072</t>
  </si>
  <si>
    <t>EL-QA-032, EL-CLR-017, EL-SAF-033, EL-SKT-021</t>
  </si>
  <si>
    <t>TR-072-ELE</t>
  </si>
  <si>
    <t>TR-073</t>
  </si>
  <si>
    <t>PL-REC-012, PL-TMV-011, PL-CLN-018</t>
  </si>
  <si>
    <t>TR-073-PLU</t>
  </si>
  <si>
    <t>TR-074</t>
  </si>
  <si>
    <t>FL-CB-021, FL-FD-016, FL-MCP-003, FL-ES-020</t>
  </si>
  <si>
    <t>TR-074-FIR</t>
  </si>
  <si>
    <t>TR-075</t>
  </si>
  <si>
    <t>EL-LD-003, EL-GND-020, EL-LX-009</t>
  </si>
  <si>
    <t>TR-075-ELE</t>
  </si>
  <si>
    <t>TR-076</t>
  </si>
  <si>
    <t>ME-CT-006, ME-DCT-010, ME-FIR-026</t>
  </si>
  <si>
    <t>TR-076-MEC</t>
  </si>
  <si>
    <t>TR-077</t>
  </si>
  <si>
    <t>FL-FD-015, FL-BT-006, FL-RS-034</t>
  </si>
  <si>
    <t>TR-077-FIR</t>
  </si>
  <si>
    <t>TR-078</t>
  </si>
  <si>
    <t>FL-HH-010, FL-EL-019, FL-MCP-003</t>
  </si>
  <si>
    <t>TR-078-FIR</t>
  </si>
  <si>
    <t>TR-079</t>
  </si>
  <si>
    <t>FL-FD-015, FL-BT-006, FL-DT-002, FL-MCP-003</t>
  </si>
  <si>
    <t>TR-079-FIR</t>
  </si>
  <si>
    <t>TR-080</t>
  </si>
  <si>
    <t>PL-LK-004, PL-FLW-002, PL-RES-035, PL-DRN-016</t>
  </si>
  <si>
    <t>TR-080-PLU</t>
  </si>
  <si>
    <t>Submit missing certificates and update compliance records.</t>
  </si>
  <si>
    <t>05/09/2024</t>
  </si>
  <si>
    <t>SAR 22,500</t>
  </si>
  <si>
    <t>SAR 24,000</t>
  </si>
  <si>
    <t>Replace faulty device and update fire alarm panel programming.</t>
  </si>
  <si>
    <t>SAR 13,500</t>
  </si>
  <si>
    <t>SAR 59,000</t>
  </si>
  <si>
    <t>SAR 26,000</t>
  </si>
  <si>
    <t>SAR 17,500</t>
  </si>
  <si>
    <t>SAR 25,500</t>
  </si>
  <si>
    <t>Rectify defect and re-test system in coordination with Civil Defense requirements.</t>
  </si>
  <si>
    <t>SAR 58,000</t>
  </si>
  <si>
    <t>SAR 48,500</t>
  </si>
  <si>
    <t>SAR 59,500</t>
  </si>
  <si>
    <t>SAR 24,500</t>
  </si>
  <si>
    <t>SAR 9,500</t>
  </si>
  <si>
    <t>SAR 14,000</t>
  </si>
  <si>
    <t>Repair/adjust equipment and conduct functional re-test.</t>
  </si>
  <si>
    <t>SAR 48,000</t>
  </si>
  <si>
    <t>SAR 6,000</t>
  </si>
  <si>
    <t>SAR 38,500</t>
  </si>
  <si>
    <t>SAR 8,000</t>
  </si>
  <si>
    <t>Replace defective component and conduct functional testing.</t>
  </si>
  <si>
    <t>SAR 37,500</t>
  </si>
  <si>
    <t>Improve labeling/housekeeping and update as-built drawings.</t>
  </si>
  <si>
    <t>Repair identified issue and re-test electrical performance.</t>
  </si>
  <si>
    <t>SAR 16,000</t>
  </si>
  <si>
    <t>SAR 34,500</t>
  </si>
  <si>
    <t>SAR 17,000</t>
  </si>
  <si>
    <t>SAR 10,000</t>
  </si>
  <si>
    <t>SAR 26,500</t>
  </si>
  <si>
    <t>SAR 20,000</t>
  </si>
  <si>
    <t>Carry out corrective maintenance and re-test system performance.</t>
  </si>
  <si>
    <t>SAR 8,500</t>
  </si>
  <si>
    <t>Adjust balancing and verify against design criteria.</t>
  </si>
  <si>
    <t>SAR 33,000</t>
  </si>
  <si>
    <t>SAR 23,000</t>
  </si>
  <si>
    <t>Clean/replace components and optimize control sequences.</t>
  </si>
  <si>
    <t>SAR 20,500</t>
  </si>
  <si>
    <t>SAR 4,000</t>
  </si>
  <si>
    <t>SAR 10,500</t>
  </si>
  <si>
    <t>SAR 18,500</t>
  </si>
  <si>
    <t>SAR 46,000</t>
  </si>
  <si>
    <t>SAR 28,500</t>
  </si>
  <si>
    <t>SAR 23,500</t>
  </si>
  <si>
    <t>SAR 55,500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</si>
</sst>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09]d\-mmm\-yy;@"/>
    <numFmt numFmtId="165" formatCode="0.000"/>
  </numFmts>
  <fonts count="37">
    <font>
      <sz val="11"/>
      <color theme="1"/>
      <name val="Calibri"/>
      <family val="2"/>
      <scheme val="minor"/>
    </font>
    <font>
      <b/>
      <sz val="11"/>
      <color rgb="FFFFFFFF"/>
      <name val="Calibri"/>
      <family val="2"/>
    </font>
    <font>
      <b/>
      <sz val="11"/>
      <color rgb="FFFFFFFF"/>
      <name val="Calibri"/>
      <family val="2"/>
    </font>
    <font>
      <sz val="11"/>
      <color theme="1"/>
      <name val="Calibri"/>
      <family val="2"/>
      <scheme val="minor"/>
    </font>
    <font>
      <sz val="8"/>
      <name val="Calibri"/>
      <family val="2"/>
      <scheme val="minor"/>
    </font>
    <font>
      <sz val="11"/>
      <color theme="1"/>
      <name val="Myriad Pro"/>
      <family val="2"/>
    </font>
    <font>
      <b/>
      <sz val="11"/>
      <color theme="1"/>
      <name val="Myriad Pro"/>
      <family val="2"/>
    </font>
    <font>
      <sz val="10"/>
      <color theme="1"/>
      <name val="Myriad Pro"/>
      <family val="2"/>
    </font>
    <font>
      <sz val="14"/>
      <color theme="1"/>
      <name val="Myriad Pro"/>
      <family val="2"/>
    </font>
    <font>
      <b/>
      <sz val="11"/>
      <color rgb="FFFFFFFF"/>
      <name val="Myriad Pro"/>
      <family val="2"/>
    </font>
    <font>
      <i/>
      <sz val="9"/>
      <color rgb="FFFFFFCC"/>
      <name val="Myriad Pro"/>
      <family val="2"/>
    </font>
    <font>
      <b/>
      <sz val="11"/>
      <color theme="0"/>
      <name val="Myriad Pro"/>
      <family val="2"/>
    </font>
    <font>
      <sz val="10"/>
      <color rgb="FF0F1115"/>
      <name val="Myriad Pro"/>
      <family val="2"/>
    </font>
    <font>
      <sz val="12"/>
      <color theme="1"/>
      <name val="Myriad Pro"/>
      <family val="2"/>
    </font>
    <font>
      <sz val="16"/>
      <color theme="1"/>
      <name val="Myriad Pro"/>
      <family val="2"/>
    </font>
    <font>
      <sz val="20"/>
      <color theme="0"/>
      <name val="Myriad Pro"/>
      <family val="2"/>
    </font>
    <font>
      <sz val="12"/>
      <color theme="1"/>
      <name val="Aptos"/>
      <family val="2"/>
    </font>
    <font>
      <b/>
      <sz val="12"/>
      <color theme="1"/>
      <name val="Aptos"/>
      <family val="2"/>
    </font>
    <font>
      <sz val="24"/>
      <color theme="8" tint="-0.499984740745262"/>
      <name val="Myriad Pro"/>
      <family val="2"/>
    </font>
    <font>
      <sz val="11"/>
      <color theme="0"/>
      <name val="Myriad Pro"/>
      <family val="2"/>
    </font>
    <font>
      <sz val="12"/>
      <color theme="0"/>
      <name val="Myriad Pro"/>
      <family val="2"/>
    </font>
    <font>
      <sz val="14"/>
      <color theme="0"/>
      <name val="Myriad Pro"/>
      <family val="2"/>
    </font>
    <font>
      <i/>
      <sz val="11"/>
      <color theme="1"/>
      <name val="Myriad Pro"/>
      <family val="2"/>
    </font>
    <font>
      <sz val="10"/>
      <color theme="1"/>
      <name val="Aptos"/>
      <family val="2"/>
    </font>
    <font>
      <sz val="10"/>
      <color rgb="FFC00000"/>
      <name val="Myriad Pro"/>
      <family val="2"/>
    </font>
    <font>
      <sz val="11"/>
      <color rgb="FFC00000"/>
      <name val="Myriad Pro"/>
      <family val="2"/>
    </font>
    <font>
      <sz val="11"/>
      <name val="Myriad Pro"/>
      <family val="2"/>
    </font>
    <font>
      <b/>
      <sz val="14"/>
      <color rgb="FF006100"/>
      <name val="Myriad Pro"/>
      <family val="2"/>
    </font>
    <font>
      <sz val="10"/>
      <color rgb="FF0C4270"/>
      <name val="Myriad Pro"/>
      <family val="2"/>
    </font>
    <font>
      <b/>
      <sz val="16"/>
      <color theme="0"/>
      <name val="Myriad Pro"/>
      <family val="2"/>
    </font>
    <font>
      <sz val="24"/>
      <color rgb="FFAD9766"/>
      <name val="Myriad Pro"/>
      <family val="2"/>
    </font>
    <font>
      <i/>
      <sz val="10"/>
      <color rgb="FFAD9766"/>
      <name val="Myriad Pro"/>
      <family val="2"/>
    </font>
    <font>
      <b/>
      <sz val="11"/>
      <color rgb="FFAD9766"/>
      <name val="Myriad Pro"/>
      <family val="2"/>
    </font>
    <font>
      <b/>
      <sz val="12"/>
      <color rgb="FFFFFFFF"/>
      <name val="Myriad Pro"/>
      <family val="2"/>
    </font>
    <font>
      <b/>
      <sz val="12"/>
      <color rgb="FFAD9766"/>
      <name val="Myriad Pro"/>
      <family val="2"/>
    </font>
    <font>
      <sz val="10"/>
      <color theme="1"/>
      <name val="Segoe UI"/>
      <family val="2"/>
    </font>
    <font>
      <i/>
      <sz val="8"/>
      <color theme="1"/>
      <name val="Myriad Pro"/>
      <family val="2"/>
    </font>
  </fonts>
  <fills count="9">
    <fill>
      <patternFill patternType="none"/>
    </fill>
    <fill>
      <patternFill patternType="gray125"/>
    </fill>
    <fill>
      <patternFill patternType="solid">
        <fgColor rgb="FF1F4E79"/>
      </patternFill>
    </fill>
    <fill>
      <patternFill patternType="solid">
        <fgColor rgb="FF1F4E79"/>
        <bgColor indexed="64"/>
      </patternFill>
    </fill>
    <fill>
      <patternFill patternType="solid">
        <fgColor rgb="FFFFFFCC"/>
        <bgColor indexed="64"/>
      </patternFill>
    </fill>
    <fill>
      <patternFill patternType="solid">
        <fgColor theme="9" tint="-0.499984740745262"/>
        <bgColor indexed="64"/>
      </patternFill>
    </fill>
    <fill>
      <patternFill patternType="solid">
        <fgColor rgb="FFAD9766"/>
        <bgColor indexed="64"/>
      </patternFill>
    </fill>
    <fill>
      <patternFill patternType="solid">
        <fgColor rgb="FF0C4270"/>
        <bgColor indexed="64"/>
      </patternFill>
    </fill>
    <fill>
      <patternFill patternType="solid">
        <fgColor rgb="FF969595"/>
        <bgColor indexed="64"/>
      </patternFill>
    </fill>
  </fills>
  <borders count="12">
    <border>
      <left/>
      <right/>
      <top/>
      <bottom/>
      <diagonal/>
    </border>
    <border>
      <left style="medium">
        <color theme="4" tint="-0.499984740745262"/>
      </left>
      <right/>
      <top style="medium">
        <color theme="4" tint="-0.499984740745262"/>
      </top>
      <bottom/>
      <diagonal/>
    </border>
    <border>
      <left/>
      <right/>
      <top style="medium">
        <color theme="4" tint="-0.499984740745262"/>
      </top>
      <bottom/>
      <diagonal/>
    </border>
    <border>
      <left style="medium">
        <color theme="4" tint="-0.499984740745262"/>
      </left>
      <right/>
      <top/>
      <bottom/>
      <diagonal/>
    </border>
    <border>
      <left/>
      <right style="thin">
        <color theme="4"/>
      </right>
      <top style="medium">
        <color theme="4" tint="-0.499984740745262"/>
      </top>
      <bottom/>
      <diagonal/>
    </border>
    <border>
      <left/>
      <right/>
      <top style="thin">
        <color theme="4"/>
      </top>
      <bottom/>
      <diagonal/>
    </border>
    <border>
      <left/>
      <right/>
      <top style="thin">
        <color indexed="64"/>
      </top>
      <bottom style="thin">
        <color indexed="64"/>
      </bottom>
      <diagonal/>
    </border>
    <border>
      <left/>
      <right/>
      <top style="thin">
        <color indexed="64"/>
      </top>
      <bottom/>
      <diagonal/>
    </border>
    <border>
      <left/>
      <right/>
      <top/>
      <bottom style="thin">
        <color indexed="64"/>
      </bottom>
      <diagonal/>
    </border>
    <border>
      <left style="thin">
        <color indexed="64"/>
      </left>
      <right/>
      <top style="thin">
        <color indexed="64"/>
      </top>
      <bottom style="thin">
        <color indexed="64"/>
      </bottom>
      <diagonal/>
    </border>
    <border>
      <left/>
      <right/>
      <top/>
      <bottom style="thin">
        <color theme="1"/>
      </bottom>
      <diagonal/>
    </border>
    <border>
      <left style="thin">
        <color theme="1"/>
      </left>
      <right style="thin">
        <color theme="1"/>
      </right>
      <top style="thin">
        <color theme="1"/>
      </top>
      <bottom style="thin">
        <color theme="1"/>
      </bottom>
      <diagonal/>
    </border>
  </borders>
  <cellStyleXfs count="3">
    <xf numFmtId="0" fontId="0" fillId="0" borderId="0"/>
    <xf numFmtId="9" fontId="3" fillId="0" borderId="0" applyFont="0" applyFill="0" applyBorder="0" applyAlignment="0" applyProtection="0"/>
    <xf numFmtId="9" fontId="3" fillId="0" borderId="0"/>
  </cellStyleXfs>
  <cellXfs count="94">
    <xf numFmtId="0" fontId="0" fillId="0" borderId="0" xfId="0"/>
    <xf numFmtId="0" fontId="1" fillId="2" borderId="0" xfId="0" applyFont="1" applyFill="1" applyAlignment="1">
      <alignment horizontal="center" vertical="center" wrapText="1"/>
    </xf>
    <xf numFmtId="0" fontId="2" fillId="2" borderId="0" xfId="0" applyFont="1" applyFill="1" applyAlignment="1">
      <alignment horizontal="center" vertical="center" wrapText="1"/>
    </xf>
    <xf numFmtId="0" fontId="2" fillId="2" borderId="3" xfId="0" applyFont="1" applyFill="1" applyBorder="1" applyAlignment="1">
      <alignment horizontal="center" vertical="center" wrapText="1"/>
    </xf>
    <xf numFmtId="0" fontId="5" fillId="0" borderId="0" xfId="0" applyFont="1" applyAlignment="1">
      <alignment vertical="center"/>
    </xf>
    <xf numFmtId="0" fontId="7" fillId="0" borderId="0" xfId="0" applyFont="1" applyAlignment="1">
      <alignment vertical="center"/>
    </xf>
    <xf numFmtId="9" fontId="5" fillId="0" borderId="0" xfId="1" applyFont="1" applyAlignment="1">
      <alignment vertical="center"/>
    </xf>
    <xf numFmtId="0" fontId="5" fillId="0" borderId="0" xfId="0" applyFont="1"/>
    <xf numFmtId="0" fontId="5" fillId="0" borderId="0" xfId="0" applyFont="1" applyAlignment="1">
      <alignment horizontal="center" vertical="center"/>
    </xf>
    <xf numFmtId="0" fontId="9" fillId="2" borderId="1" xfId="0" applyFont="1" applyFill="1" applyBorder="1" applyAlignment="1">
      <alignment horizontal="center" vertical="center" wrapText="1"/>
    </xf>
    <xf numFmtId="0" fontId="9" fillId="2" borderId="2" xfId="0" applyFont="1" applyFill="1" applyBorder="1" applyAlignment="1">
      <alignment horizontal="center" vertical="center" wrapText="1"/>
    </xf>
    <xf numFmtId="0" fontId="9" fillId="3" borderId="2" xfId="0" applyFont="1" applyFill="1" applyBorder="1" applyAlignment="1">
      <alignment horizontal="center" vertical="center" wrapText="1"/>
    </xf>
    <xf numFmtId="0" fontId="11" fillId="5" borderId="1" xfId="0" applyFont="1" applyFill="1" applyBorder="1" applyAlignment="1">
      <alignment horizontal="center" vertical="center" wrapText="1"/>
    </xf>
    <xf numFmtId="0" fontId="11" fillId="5" borderId="4" xfId="0" applyFont="1" applyFill="1" applyBorder="1" applyAlignment="1">
      <alignment horizontal="center" vertical="center" wrapText="1"/>
    </xf>
    <xf numFmtId="0" fontId="11" fillId="5" borderId="2" xfId="0" applyFont="1" applyFill="1" applyBorder="1" applyAlignment="1">
      <alignment horizontal="center" vertical="center" wrapText="1"/>
    </xf>
    <xf numFmtId="164" fontId="11" fillId="5" borderId="2" xfId="0" applyNumberFormat="1" applyFont="1" applyFill="1" applyBorder="1" applyAlignment="1">
      <alignment horizontal="center" vertical="center" wrapText="1"/>
    </xf>
    <xf numFmtId="0" fontId="9" fillId="3" borderId="0" xfId="0" applyFont="1" applyFill="1" applyAlignment="1">
      <alignment horizontal="center" vertical="center" wrapText="1"/>
    </xf>
    <xf numFmtId="0" fontId="5" fillId="0" borderId="3" xfId="0" applyFont="1" applyBorder="1"/>
    <xf numFmtId="0" fontId="5" fillId="0" borderId="0" xfId="0" applyFont="1" applyProtection="1">
      <protection locked="0"/>
    </xf>
    <xf numFmtId="0" fontId="5" fillId="0" borderId="0" xfId="0" applyFont="1" applyAlignment="1">
      <alignment horizontal="center"/>
    </xf>
    <xf numFmtId="9" fontId="5" fillId="4" borderId="0" xfId="1" applyFont="1" applyFill="1" applyAlignment="1">
      <alignment horizontal="center"/>
    </xf>
    <xf numFmtId="164" fontId="5" fillId="0" borderId="0" xfId="0" applyNumberFormat="1" applyFont="1"/>
    <xf numFmtId="0" fontId="9" fillId="2" borderId="5" xfId="0" applyFont="1" applyFill="1" applyBorder="1" applyAlignment="1">
      <alignment horizontal="center" vertical="center" wrapText="1"/>
    </xf>
    <xf numFmtId="0" fontId="5" fillId="0" borderId="0" xfId="0" applyFont="1" applyAlignment="1">
      <alignment horizontal="center" vertical="center" wrapText="1"/>
    </xf>
    <xf numFmtId="0" fontId="14" fillId="0" borderId="0" xfId="0" applyFont="1" applyAlignment="1">
      <alignment vertical="center"/>
    </xf>
    <xf numFmtId="0" fontId="9" fillId="7" borderId="2" xfId="0" applyFont="1" applyFill="1" applyBorder="1" applyAlignment="1">
      <alignment horizontal="center" vertical="center" wrapText="1"/>
    </xf>
    <xf numFmtId="0" fontId="15" fillId="6" borderId="0" xfId="0" applyFont="1" applyFill="1" applyAlignment="1">
      <alignment horizontal="center" vertical="center" textRotation="90"/>
    </xf>
    <xf numFmtId="0" fontId="22" fillId="0" borderId="10" xfId="0" applyFont="1" applyBorder="1" applyAlignment="1">
      <alignment vertical="center"/>
    </xf>
    <xf numFmtId="0" fontId="6" fillId="0" borderId="0" xfId="0" applyFont="1" applyAlignment="1">
      <alignment horizontal="center" vertical="center"/>
    </xf>
    <xf numFmtId="0" fontId="18" fillId="0" borderId="0" xfId="0" applyFont="1" applyAlignment="1">
      <alignment vertical="center"/>
    </xf>
    <xf numFmtId="0" fontId="28" fillId="0" borderId="0" xfId="0" applyFont="1" applyAlignment="1">
      <alignment vertical="center"/>
    </xf>
    <xf numFmtId="0" fontId="6" fillId="0" borderId="0" xfId="0" applyFont="1" applyAlignment="1">
      <alignment horizontal="right"/>
    </xf>
    <xf numFmtId="0" fontId="5" fillId="0" borderId="0" xfId="0" applyFont="1" applyAlignment="1">
      <alignment horizontal="left" vertical="center"/>
    </xf>
    <xf numFmtId="0" fontId="5" fillId="0" borderId="8" xfId="0" applyFont="1" applyBorder="1" applyAlignment="1">
      <alignment horizontal="left" vertical="center"/>
    </xf>
    <xf numFmtId="0" fontId="5" fillId="0" borderId="6" xfId="0" applyFont="1" applyBorder="1" applyAlignment="1">
      <alignment horizontal="left" vertical="center"/>
    </xf>
    <xf numFmtId="0" fontId="5" fillId="0" borderId="7" xfId="0" applyFont="1" applyBorder="1" applyAlignment="1">
      <alignment vertical="center"/>
    </xf>
    <xf numFmtId="9" fontId="5" fillId="0" borderId="0" xfId="1" applyFont="1" applyFill="1" applyAlignment="1">
      <alignment vertical="center"/>
    </xf>
    <xf numFmtId="9" fontId="5" fillId="0" borderId="0" xfId="0" applyNumberFormat="1" applyFont="1" applyAlignment="1">
      <alignment horizontal="center" vertical="center"/>
    </xf>
    <xf numFmtId="1" fontId="5" fillId="0" borderId="0" xfId="0" applyNumberFormat="1" applyFont="1" applyAlignment="1">
      <alignment horizontal="center" vertical="center"/>
    </xf>
    <xf numFmtId="9" fontId="8" fillId="0" borderId="0" xfId="0" applyNumberFormat="1" applyFont="1" applyAlignment="1">
      <alignment horizontal="center" vertical="center"/>
    </xf>
    <xf numFmtId="1" fontId="8" fillId="0" borderId="0" xfId="0" applyNumberFormat="1" applyFont="1" applyAlignment="1">
      <alignment horizontal="center" vertical="center"/>
    </xf>
    <xf numFmtId="9" fontId="5" fillId="0" borderId="0" xfId="0" applyNumberFormat="1" applyFont="1" applyAlignment="1">
      <alignment vertical="center"/>
    </xf>
    <xf numFmtId="1" fontId="5" fillId="0" borderId="0" xfId="0" applyNumberFormat="1" applyFont="1" applyAlignment="1">
      <alignment vertical="center"/>
    </xf>
    <xf numFmtId="9" fontId="5" fillId="0" borderId="0" xfId="1" applyFont="1" applyFill="1" applyAlignment="1">
      <alignment horizontal="center" vertical="center"/>
    </xf>
    <xf numFmtId="0" fontId="21" fillId="0" borderId="0" xfId="0" applyFont="1" applyAlignment="1">
      <alignment vertical="center"/>
    </xf>
    <xf numFmtId="0" fontId="30" fillId="0" borderId="0" xfId="0" applyFont="1" applyAlignment="1">
      <alignment vertical="center"/>
    </xf>
    <xf numFmtId="0" fontId="31" fillId="0" borderId="0" xfId="0" applyFont="1" applyAlignment="1">
      <alignment horizontal="center"/>
    </xf>
    <xf numFmtId="0" fontId="31" fillId="0" borderId="0" xfId="0" applyFont="1" applyAlignment="1">
      <alignment horizontal="center" wrapText="1"/>
    </xf>
    <xf numFmtId="0" fontId="29" fillId="6" borderId="0" xfId="0" applyFont="1" applyFill="1" applyAlignment="1">
      <alignment horizontal="center" vertical="center"/>
    </xf>
    <xf numFmtId="9" fontId="29" fillId="6" borderId="0" xfId="0" applyNumberFormat="1" applyFont="1" applyFill="1" applyAlignment="1">
      <alignment horizontal="center" vertical="center"/>
    </xf>
    <xf numFmtId="1" fontId="29" fillId="6" borderId="0" xfId="0" applyNumberFormat="1" applyFont="1" applyFill="1" applyAlignment="1">
      <alignment horizontal="center" vertical="center"/>
    </xf>
    <xf numFmtId="9" fontId="19" fillId="6" borderId="0" xfId="1" applyFont="1" applyFill="1" applyAlignment="1">
      <alignment horizontal="center" vertical="center" wrapText="1"/>
    </xf>
    <xf numFmtId="0" fontId="19" fillId="0" borderId="0" xfId="0" applyFont="1" applyAlignment="1">
      <alignment horizontal="center" vertical="center" wrapText="1"/>
    </xf>
    <xf numFmtId="9" fontId="19" fillId="0" borderId="0" xfId="1" applyFont="1" applyFill="1" applyAlignment="1">
      <alignment horizontal="center" vertical="center" wrapText="1"/>
    </xf>
    <xf numFmtId="0" fontId="15" fillId="0" borderId="0" xfId="0" applyFont="1" applyAlignment="1">
      <alignment horizontal="center" vertical="center" textRotation="90"/>
    </xf>
    <xf numFmtId="0" fontId="5" fillId="6" borderId="0" xfId="0" applyFont="1" applyFill="1" applyAlignment="1">
      <alignment horizontal="center" vertical="center" wrapText="1"/>
    </xf>
    <xf numFmtId="0" fontId="20" fillId="6" borderId="0" xfId="0" applyFont="1" applyFill="1" applyAlignment="1">
      <alignment horizontal="center" vertical="center" wrapText="1"/>
    </xf>
    <xf numFmtId="9" fontId="20" fillId="6" borderId="0" xfId="1" applyFont="1" applyFill="1" applyAlignment="1">
      <alignment horizontal="center" vertical="center" wrapText="1"/>
    </xf>
    <xf numFmtId="0" fontId="6" fillId="0" borderId="0" xfId="0" applyFont="1" applyAlignment="1">
      <alignment horizontal="left"/>
    </xf>
    <xf numFmtId="9" fontId="20" fillId="6" borderId="0" xfId="1" applyFont="1" applyFill="1" applyAlignment="1">
      <alignment vertical="center" wrapText="1"/>
    </xf>
    <xf numFmtId="0" fontId="29" fillId="6" borderId="0" xfId="0" applyFont="1" applyFill="1" applyAlignment="1">
      <alignment vertical="center" wrapText="1"/>
    </xf>
    <xf numFmtId="1" fontId="29" fillId="6" borderId="0" xfId="0" applyNumberFormat="1" applyFont="1" applyFill="1" applyAlignment="1">
      <alignment horizontal="center" vertical="center" wrapText="1"/>
    </xf>
    <xf numFmtId="9" fontId="5" fillId="0" borderId="0" xfId="1" applyFont="1" applyAlignment="1">
      <alignment horizontal="left" vertical="center"/>
    </xf>
    <xf numFmtId="9" fontId="0" fillId="0" borderId="0" xfId="1" applyFont="1"/>
    <xf numFmtId="164" fontId="5" fillId="0" borderId="6" xfId="0" applyNumberFormat="1" applyFont="1" applyBorder="1" applyAlignment="1">
      <alignment horizontal="left" vertical="center"/>
    </xf>
    <xf numFmtId="164" fontId="5" fillId="0" borderId="8" xfId="0" applyNumberFormat="1" applyFont="1" applyBorder="1" applyAlignment="1">
      <alignment horizontal="left" vertical="center"/>
    </xf>
    <xf numFmtId="1" fontId="29" fillId="6" borderId="0" xfId="1" applyNumberFormat="1" applyFont="1" applyFill="1" applyAlignment="1">
      <alignment horizontal="center" vertical="center" wrapText="1"/>
    </xf>
    <xf numFmtId="0" fontId="32" fillId="0" borderId="0" xfId="0" applyFont="1" applyAlignment="1">
      <alignment vertical="center"/>
    </xf>
    <xf numFmtId="0" fontId="19" fillId="8" borderId="9" xfId="0" applyFont="1" applyFill="1" applyBorder="1" applyAlignment="1">
      <alignment vertical="center"/>
    </xf>
    <xf numFmtId="0" fontId="9" fillId="6" borderId="0" xfId="0" applyFont="1" applyFill="1" applyAlignment="1">
      <alignment horizontal="center" vertical="center" wrapText="1"/>
    </xf>
    <xf numFmtId="0" fontId="19" fillId="0" borderId="0" xfId="0" applyFont="1" applyAlignment="1">
      <alignment vertical="center" wrapText="1"/>
    </xf>
    <xf numFmtId="0" fontId="33" fillId="6" borderId="0" xfId="0" applyFont="1" applyFill="1" applyAlignment="1">
      <alignment horizontal="center" vertical="center" wrapText="1"/>
    </xf>
    <xf numFmtId="0" fontId="34" fillId="0" borderId="0" xfId="0" applyFont="1" applyAlignment="1">
      <alignment vertical="center"/>
    </xf>
    <xf numFmtId="2" fontId="5" fillId="0" borderId="0" xfId="0" applyNumberFormat="1" applyFont="1" applyAlignment="1">
      <alignment horizontal="center" vertical="center" wrapText="1"/>
    </xf>
    <xf numFmtId="0" fontId="12" fillId="0" borderId="0" xfId="0" applyFont="1" applyAlignment="1">
      <alignment horizontal="center"/>
    </xf>
    <xf numFmtId="0" fontId="5" fillId="0" borderId="5" xfId="0" applyFont="1" applyBorder="1"/>
    <xf numFmtId="0" fontId="29" fillId="6" borderId="0" xfId="0" applyFont="1" applyFill="1" applyAlignment="1">
      <alignment horizontal="center" vertical="center" wrapText="1"/>
    </xf>
    <xf numFmtId="2" fontId="5" fillId="0" borderId="0" xfId="0" applyNumberFormat="1" applyFont="1" applyAlignment="1">
      <alignment horizontal="center"/>
    </xf>
    <xf numFmtId="165" fontId="5" fillId="0" borderId="0" xfId="0" applyNumberFormat="1" applyFont="1" applyAlignment="1">
      <alignment horizontal="center" vertical="center" wrapText="1"/>
    </xf>
    <xf numFmtId="0" fontId="35" fillId="0" borderId="0" xfId="0" applyFont="1"/>
    <xf numFmtId="0" fontId="7" fillId="0" borderId="0" xfId="0" applyFont="1" applyAlignment="1">
      <alignment horizontal="center" vertical="center"/>
    </xf>
    <xf numFmtId="49" fontId="5" fillId="0" borderId="0" xfId="0" applyNumberFormat="1" applyFont="1"/>
    <xf numFmtId="2" fontId="5" fillId="0" borderId="0" xfId="1" applyNumberFormat="1" applyFont="1" applyFill="1" applyAlignment="1">
      <alignment horizontal="center" vertical="center"/>
    </xf>
    <xf numFmtId="2" fontId="5" fillId="0" borderId="0" xfId="0" applyNumberFormat="1" applyFont="1" applyAlignment="1">
      <alignment horizontal="center" vertical="center"/>
    </xf>
    <xf numFmtId="9" fontId="29" fillId="6" borderId="0" xfId="0" applyNumberFormat="1" applyFont="1" applyFill="1" applyAlignment="1">
      <alignment horizontal="center" vertical="center" wrapText="1"/>
    </xf>
    <xf numFmtId="0" fontId="0" fillId="0" borderId="0" xfId="0" applyAlignment="1">
      <alignment horizontal="center"/>
    </xf>
    <xf numFmtId="14" fontId="0" fillId="0" borderId="0" xfId="0" applyNumberFormat="1"/>
    <xf numFmtId="9" fontId="29" fillId="6" borderId="0" xfId="1" applyFont="1" applyFill="1" applyAlignment="1">
      <alignment horizontal="center" vertical="center"/>
    </xf>
    <xf numFmtId="0" fontId="19" fillId="0" borderId="0" xfId="0" applyFont="1"/>
    <xf numFmtId="14" fontId="5" fillId="0" borderId="5" xfId="0" applyNumberFormat="1" applyFont="1" applyBorder="1" applyAlignment="1">
      <alignment horizontal="center" vertical="center"/>
    </xf>
    <xf numFmtId="0" fontId="15" fillId="7" borderId="0" xfId="0" applyFont="1" applyFill="1" applyAlignment="1">
      <alignment horizontal="center" vertical="center" textRotation="90"/>
    </xf>
    <xf numFmtId="0" fontId="5" fillId="0" borderId="11" xfId="0" applyFont="1" applyBorder="1" applyAlignment="1">
      <alignment horizontal="left" vertical="center" wrapText="1"/>
    </xf>
    <xf numFmtId="0" fontId="36" fillId="0" borderId="0" xfId="0" applyFont="1" applyAlignment="1">
      <alignment horizontal="left" vertical="top" wrapText="1"/>
    </xf>
    <xf numFmtId="0" fontId="13" fillId="0" borderId="0" xfId="0" applyFont="1" applyAlignment="1">
      <alignment horizontal="left" vertical="top" wrapText="1"/>
    </xf>
  </cellXfs>
  <cellStyles count="3">
    <cellStyle name="Normal" xfId="0" builtinId="0"/>
    <cellStyle name="Percent" xfId="1" builtinId="5"/>
    <cellStyle name="Percent 2" xfId="2" xr:uid="{9FE992CA-6690-4704-988D-B59EBAF849D4}"/>
  </cellStyles>
  <dxfs count="58">
    <dxf>
      <font>
        <color rgb="FF9C5700"/>
      </font>
      <fill>
        <patternFill>
          <bgColor rgb="FFFFEB9C"/>
        </patternFill>
      </fill>
    </dxf>
    <dxf>
      <font>
        <color rgb="FF006100"/>
      </font>
      <fill>
        <patternFill>
          <bgColor rgb="FFC6EFCE"/>
        </patternFill>
      </fill>
    </dxf>
    <dxf>
      <font>
        <color theme="3"/>
      </font>
      <fill>
        <patternFill>
          <bgColor theme="4" tint="0.79998168889431442"/>
        </patternFill>
      </fill>
    </dxf>
    <dxf>
      <font>
        <color rgb="FF006600"/>
      </font>
    </dxf>
    <dxf>
      <font>
        <color rgb="FF9C0006"/>
      </font>
    </dxf>
    <dxf>
      <font>
        <color rgb="FF9C0006"/>
      </font>
    </dxf>
    <dxf>
      <font>
        <color rgb="FF006600"/>
      </font>
    </dxf>
    <dxf>
      <font>
        <color rgb="FFFFDD4F"/>
      </font>
    </dxf>
    <dxf>
      <font>
        <color rgb="FF9C0006"/>
      </font>
    </dxf>
    <dxf>
      <font>
        <strike val="0"/>
        <outline val="0"/>
        <shadow val="0"/>
        <u val="none"/>
        <vertAlign val="baseline"/>
        <name val="Myriad Pro"/>
        <family val="2"/>
        <scheme val="none"/>
      </font>
    </dxf>
    <dxf>
      <font>
        <strike val="0"/>
        <outline val="0"/>
        <shadow val="0"/>
        <u val="none"/>
        <vertAlign val="baseline"/>
        <name val="Myriad Pro"/>
        <family val="2"/>
        <scheme val="none"/>
      </font>
    </dxf>
    <dxf>
      <font>
        <strike val="0"/>
        <outline val="0"/>
        <shadow val="0"/>
        <u val="none"/>
        <vertAlign val="baseline"/>
        <name val="Myriad Pro"/>
        <family val="2"/>
        <scheme val="none"/>
      </font>
      <numFmt numFmtId="164" formatCode="[$-409]d\-mmm\-yy;@"/>
    </dxf>
    <dxf>
      <font>
        <strike val="0"/>
        <outline val="0"/>
        <shadow val="0"/>
        <u val="none"/>
        <vertAlign val="baseline"/>
        <name val="Myriad Pro"/>
        <family val="2"/>
        <scheme val="none"/>
      </font>
    </dxf>
    <dxf>
      <font>
        <strike val="0"/>
        <outline val="0"/>
        <shadow val="0"/>
        <u val="none"/>
        <vertAlign val="baseline"/>
        <name val="Myriad Pro"/>
        <family val="2"/>
        <scheme val="none"/>
      </font>
      <numFmt numFmtId="0" formatCode="General"/>
    </dxf>
    <dxf>
      <font>
        <strike val="0"/>
        <outline val="0"/>
        <shadow val="0"/>
        <u val="none"/>
        <vertAlign val="baseline"/>
        <name val="Myriad Pro"/>
        <family val="2"/>
        <scheme val="none"/>
      </font>
    </dxf>
    <dxf>
      <font>
        <b val="0"/>
        <i val="0"/>
        <strike val="0"/>
        <condense val="0"/>
        <extend val="0"/>
        <outline val="0"/>
        <shadow val="0"/>
        <u val="none"/>
        <vertAlign val="baseline"/>
        <sz val="10"/>
        <color theme="1"/>
        <name val="Myriad Pro"/>
        <family val="2"/>
        <scheme val="none"/>
      </font>
      <alignment horizontal="center" vertical="center" textRotation="0" wrapText="0" indent="0" justifyLastLine="0" shrinkToFit="0" readingOrder="0"/>
    </dxf>
    <dxf>
      <font>
        <b/>
        <strike val="0"/>
        <outline val="0"/>
        <shadow val="0"/>
        <u val="none"/>
        <vertAlign val="baseline"/>
        <name val="Myriad Pro"/>
        <family val="2"/>
        <scheme val="none"/>
      </font>
      <numFmt numFmtId="0" formatCode="General"/>
      <fill>
        <patternFill patternType="none">
          <fgColor indexed="64"/>
          <bgColor indexed="65"/>
        </patternFill>
      </fill>
      <alignment horizontal="center" vertical="bottom" textRotation="0" wrapText="0" indent="0" justifyLastLine="0" shrinkToFit="0" readingOrder="0"/>
    </dxf>
    <dxf>
      <font>
        <strike val="0"/>
        <outline val="0"/>
        <shadow val="0"/>
        <u val="none"/>
        <vertAlign val="baseline"/>
        <name val="Myriad Pro"/>
        <family val="2"/>
        <scheme val="none"/>
      </font>
      <fill>
        <patternFill patternType="none">
          <fgColor indexed="64"/>
          <bgColor auto="1"/>
        </patternFill>
      </fill>
      <alignment horizontal="center" vertical="bottom" textRotation="0" wrapText="0" indent="0" justifyLastLine="0" shrinkToFit="0" readingOrder="0"/>
    </dxf>
    <dxf>
      <font>
        <strike val="0"/>
        <outline val="0"/>
        <shadow val="0"/>
        <u val="none"/>
        <vertAlign val="baseline"/>
        <name val="Myriad Pro"/>
        <family val="2"/>
        <scheme val="none"/>
      </font>
      <numFmt numFmtId="13" formatCode="0%"/>
      <fill>
        <patternFill patternType="solid">
          <fgColor indexed="64"/>
          <bgColor rgb="FFFFFFCC"/>
        </patternFill>
      </fill>
      <alignment horizontal="center" textRotation="0" indent="0" justifyLastLine="0" shrinkToFit="0" readingOrder="0"/>
    </dxf>
    <dxf>
      <font>
        <strike val="0"/>
        <outline val="0"/>
        <shadow val="0"/>
        <u val="none"/>
        <vertAlign val="baseline"/>
        <name val="Myriad Pro"/>
        <family val="2"/>
        <scheme val="none"/>
      </font>
      <alignment horizontal="center" textRotation="0" indent="0" justifyLastLine="0" shrinkToFit="0" readingOrder="0"/>
    </dxf>
    <dxf>
      <font>
        <strike val="0"/>
        <outline val="0"/>
        <shadow val="0"/>
        <u val="none"/>
        <vertAlign val="baseline"/>
        <name val="Myriad Pro"/>
        <family val="2"/>
        <scheme val="none"/>
      </font>
      <alignment horizontal="center" textRotation="0" indent="0" justifyLastLine="0" shrinkToFit="0" readingOrder="0"/>
    </dxf>
    <dxf>
      <font>
        <strike val="0"/>
        <outline val="0"/>
        <shadow val="0"/>
        <u val="none"/>
        <vertAlign val="baseline"/>
        <name val="Myriad Pro"/>
        <family val="2"/>
        <scheme val="none"/>
      </font>
      <alignment horizontal="center" textRotation="0" indent="0" justifyLastLine="0" shrinkToFit="0" readingOrder="0"/>
    </dxf>
    <dxf>
      <font>
        <strike val="0"/>
        <outline val="0"/>
        <shadow val="0"/>
        <u val="none"/>
        <vertAlign val="baseline"/>
        <name val="Myriad Pro"/>
        <family val="2"/>
        <scheme val="none"/>
      </font>
      <alignment horizontal="center" textRotation="0" indent="0" justifyLastLine="0" shrinkToFit="0" readingOrder="0"/>
    </dxf>
    <dxf>
      <font>
        <strike val="0"/>
        <outline val="0"/>
        <shadow val="0"/>
        <u val="none"/>
        <vertAlign val="baseline"/>
        <name val="Myriad Pro"/>
        <family val="2"/>
        <scheme val="none"/>
      </font>
      <alignment horizontal="center" textRotation="0" indent="0" justifyLastLine="0" shrinkToFit="0" readingOrder="0"/>
    </dxf>
    <dxf>
      <font>
        <strike val="0"/>
        <outline val="0"/>
        <shadow val="0"/>
        <u val="none"/>
        <vertAlign val="baseline"/>
        <name val="Myriad Pro"/>
        <family val="2"/>
        <scheme val="none"/>
      </font>
    </dxf>
    <dxf>
      <font>
        <strike val="0"/>
        <outline val="0"/>
        <shadow val="0"/>
        <u val="none"/>
        <vertAlign val="baseline"/>
        <name val="Myriad Pro"/>
        <family val="2"/>
        <scheme val="none"/>
      </font>
      <protection locked="0" hidden="0"/>
    </dxf>
    <dxf>
      <font>
        <strike val="0"/>
        <outline val="0"/>
        <shadow val="0"/>
        <u val="none"/>
        <vertAlign val="baseline"/>
        <name val="Myriad Pro"/>
        <family val="2"/>
        <scheme val="none"/>
      </font>
      <protection locked="0" hidden="0"/>
    </dxf>
    <dxf>
      <font>
        <strike val="0"/>
        <outline val="0"/>
        <shadow val="0"/>
        <u val="none"/>
        <vertAlign val="baseline"/>
        <name val="Myriad Pro"/>
        <family val="2"/>
        <scheme val="none"/>
      </font>
      <protection locked="0" hidden="0"/>
    </dxf>
    <dxf>
      <font>
        <strike val="0"/>
        <outline val="0"/>
        <shadow val="0"/>
        <u val="none"/>
        <vertAlign val="baseline"/>
        <name val="Myriad Pro"/>
        <family val="2"/>
        <scheme val="none"/>
      </font>
    </dxf>
    <dxf>
      <font>
        <strike val="0"/>
        <outline val="0"/>
        <shadow val="0"/>
        <u val="none"/>
        <vertAlign val="baseline"/>
        <name val="Myriad Pro"/>
        <family val="2"/>
        <scheme val="none"/>
      </font>
    </dxf>
    <dxf>
      <font>
        <strike val="0"/>
        <outline val="0"/>
        <shadow val="0"/>
        <u val="none"/>
        <vertAlign val="baseline"/>
        <name val="Myriad Pro"/>
        <family val="2"/>
        <scheme val="none"/>
      </font>
      <border diagonalUp="0" diagonalDown="0" outline="0">
        <left style="medium">
          <color theme="4" tint="-0.499984740745262"/>
        </left>
        <right/>
        <top/>
        <bottom/>
      </border>
    </dxf>
    <dxf>
      <border outline="0">
        <top style="thin">
          <color theme="4"/>
        </top>
      </border>
    </dxf>
    <dxf>
      <font>
        <strike val="0"/>
        <outline val="0"/>
        <shadow val="0"/>
        <u val="none"/>
        <vertAlign val="baseline"/>
        <name val="Myriad Pro"/>
        <family val="2"/>
        <scheme val="none"/>
      </font>
    </dxf>
    <dxf>
      <font>
        <b/>
        <i val="0"/>
        <strike val="0"/>
        <condense val="0"/>
        <extend val="0"/>
        <outline val="0"/>
        <shadow val="0"/>
        <u val="none"/>
        <vertAlign val="baseline"/>
        <sz val="11"/>
        <color rgb="FFFFFFFF"/>
        <name val="Myriad Pro"/>
        <family val="2"/>
        <scheme val="none"/>
      </font>
      <fill>
        <patternFill patternType="solid">
          <fgColor indexed="64"/>
          <bgColor rgb="FF1F4E79"/>
        </patternFill>
      </fill>
      <alignment horizontal="center" vertical="center" textRotation="0" wrapText="1" indent="0" justifyLastLine="0" shrinkToFit="0" readingOrder="0"/>
    </dxf>
    <dxf>
      <border outline="0">
        <top style="thin">
          <color theme="4"/>
        </top>
      </border>
    </dxf>
    <dxf>
      <font>
        <b/>
        <i val="0"/>
        <strike val="0"/>
        <condense val="0"/>
        <extend val="0"/>
        <outline val="0"/>
        <shadow val="0"/>
        <u val="none"/>
        <vertAlign val="baseline"/>
        <sz val="11"/>
        <color rgb="FFFFFFFF"/>
        <name val="Calibri"/>
        <family val="2"/>
        <scheme val="none"/>
      </font>
      <fill>
        <patternFill patternType="solid">
          <fgColor indexed="64"/>
          <bgColor rgb="FF1F4E79"/>
        </patternFill>
      </fill>
      <alignment horizontal="center" vertical="center" textRotation="0" wrapText="1" indent="0" justifyLastLine="0" shrinkToFit="0" readingOrder="0"/>
    </dxf>
    <dxf>
      <font>
        <strike val="0"/>
        <outline val="0"/>
        <shadow val="0"/>
        <u val="none"/>
        <vertAlign val="baseline"/>
        <sz val="11"/>
        <name val="Myriad Pro"/>
        <family val="2"/>
        <scheme val="none"/>
      </font>
      <fill>
        <patternFill patternType="none">
          <fgColor indexed="64"/>
          <bgColor auto="1"/>
        </patternFill>
      </fill>
    </dxf>
    <dxf>
      <font>
        <strike val="0"/>
        <outline val="0"/>
        <shadow val="0"/>
        <u val="none"/>
        <vertAlign val="baseline"/>
        <sz val="11"/>
        <name val="Myriad Pro"/>
        <family val="2"/>
        <scheme val="none"/>
      </font>
      <fill>
        <patternFill patternType="none">
          <fgColor indexed="64"/>
          <bgColor auto="1"/>
        </patternFill>
      </fill>
    </dxf>
    <dxf>
      <font>
        <b val="0"/>
        <i val="0"/>
        <strike val="0"/>
        <condense val="0"/>
        <extend val="0"/>
        <outline val="0"/>
        <shadow val="0"/>
        <u val="none"/>
        <vertAlign val="baseline"/>
        <sz val="11"/>
        <color theme="1"/>
        <name val="Myriad Pro"/>
        <family val="2"/>
        <scheme val="none"/>
      </font>
      <fill>
        <patternFill patternType="none">
          <fgColor indexed="64"/>
          <bgColor indexed="65"/>
        </patternFill>
      </fill>
      <alignment horizontal="left" vertical="center" textRotation="0" wrapText="1" indent="0" justifyLastLine="0" shrinkToFit="0" readingOrder="0"/>
      <border diagonalUp="0" diagonalDown="0" outline="0">
        <left/>
        <right style="medium">
          <color rgb="FFDDDDDD"/>
        </right>
        <top style="medium">
          <color rgb="FFDDDDDD"/>
        </top>
        <bottom style="medium">
          <color rgb="FFDDDDDD"/>
        </bottom>
      </border>
    </dxf>
    <dxf>
      <font>
        <b val="0"/>
        <i val="0"/>
        <strike val="0"/>
        <condense val="0"/>
        <extend val="0"/>
        <outline val="0"/>
        <shadow val="0"/>
        <u val="none"/>
        <vertAlign val="baseline"/>
        <sz val="11"/>
        <color theme="1"/>
        <name val="Myriad Pro"/>
        <family val="2"/>
        <scheme val="none"/>
      </font>
      <numFmt numFmtId="30" formatCode="@"/>
      <fill>
        <patternFill patternType="none">
          <fgColor indexed="64"/>
          <bgColor indexed="65"/>
        </patternFill>
      </fill>
      <alignment horizontal="left" vertical="center" textRotation="0" wrapText="1" indent="0" justifyLastLine="0" shrinkToFit="0" readingOrder="0"/>
      <border diagonalUp="0" diagonalDown="0" outline="0">
        <left style="medium">
          <color rgb="FFDDDDDD"/>
        </left>
        <right style="medium">
          <color rgb="FFDDDDDD"/>
        </right>
        <top style="medium">
          <color rgb="FFDDDDDD"/>
        </top>
        <bottom style="medium">
          <color rgb="FFDDDDDD"/>
        </bottom>
      </border>
    </dxf>
    <dxf>
      <font>
        <strike val="0"/>
        <outline val="0"/>
        <shadow val="0"/>
        <u val="none"/>
        <vertAlign val="baseline"/>
        <sz val="11"/>
        <name val="Myriad Pro"/>
        <family val="2"/>
        <scheme val="none"/>
      </font>
      <fill>
        <patternFill patternType="none">
          <fgColor indexed="64"/>
          <bgColor auto="1"/>
        </patternFill>
      </fill>
    </dxf>
    <dxf>
      <font>
        <b val="0"/>
        <strike val="0"/>
        <outline val="0"/>
        <shadow val="0"/>
        <u val="none"/>
        <vertAlign val="baseline"/>
        <name val="Myriad Pro"/>
        <family val="2"/>
        <scheme val="none"/>
      </font>
      <fill>
        <patternFill patternType="none">
          <fgColor indexed="64"/>
          <bgColor auto="1"/>
        </patternFill>
      </fill>
      <alignment horizontal="left" vertical="center" textRotation="0" wrapText="1" indent="0" justifyLastLine="0" shrinkToFit="0" readingOrder="0"/>
      <border diagonalUp="0" diagonalDown="0" outline="0">
        <left style="medium">
          <color rgb="FFDDDDDD"/>
        </left>
        <right style="medium">
          <color rgb="FFDDDDDD"/>
        </right>
        <top style="medium">
          <color rgb="FFDDDDDD"/>
        </top>
        <bottom style="medium">
          <color rgb="FFDDDDDD"/>
        </bottom>
      </border>
    </dxf>
    <dxf>
      <font>
        <strike val="0"/>
        <outline val="0"/>
        <shadow val="0"/>
        <u val="none"/>
        <vertAlign val="baseline"/>
        <name val="Myriad Pro"/>
        <family val="2"/>
        <scheme val="none"/>
      </font>
      <fill>
        <patternFill patternType="none">
          <fgColor indexed="64"/>
          <bgColor auto="1"/>
        </patternFill>
      </fill>
      <alignment horizontal="left" vertical="center" textRotation="0" wrapText="1" indent="0" justifyLastLine="0" shrinkToFit="0" readingOrder="0"/>
      <border diagonalUp="0" diagonalDown="0" outline="0">
        <left style="medium">
          <color rgb="FFDDDDDD"/>
        </left>
        <right style="medium">
          <color rgb="FFDDDDDD"/>
        </right>
        <top style="medium">
          <color rgb="FFDDDDDD"/>
        </top>
        <bottom style="medium">
          <color rgb="FFDDDDDD"/>
        </bottom>
      </border>
    </dxf>
    <dxf>
      <font>
        <strike val="0"/>
        <outline val="0"/>
        <shadow val="0"/>
        <u val="none"/>
        <vertAlign val="baseline"/>
        <sz val="11"/>
        <name val="Myriad Pro"/>
        <family val="2"/>
        <scheme val="none"/>
      </font>
      <fill>
        <patternFill patternType="none">
          <fgColor indexed="64"/>
          <bgColor auto="1"/>
        </patternFill>
      </fill>
    </dxf>
    <dxf>
      <font>
        <b/>
        <i val="0"/>
        <strike val="0"/>
        <condense val="0"/>
        <extend val="0"/>
        <outline val="0"/>
        <shadow val="0"/>
        <u val="none"/>
        <vertAlign val="baseline"/>
        <sz val="11"/>
        <color rgb="FFFFFFFF"/>
        <name val="Myriad Pro"/>
        <family val="2"/>
        <scheme val="none"/>
      </font>
      <fill>
        <patternFill patternType="solid">
          <fgColor indexed="64"/>
          <bgColor rgb="FFAD9766"/>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Myriad Pro"/>
        <family val="2"/>
        <scheme val="none"/>
      </font>
      <numFmt numFmtId="13" formatCode="0%"/>
      <alignment horizontal="center" vertical="center" textRotation="0" wrapText="0" indent="0" justifyLastLine="0" shrinkToFit="0" readingOrder="0"/>
    </dxf>
    <dxf>
      <font>
        <strike val="0"/>
        <outline val="0"/>
        <shadow val="0"/>
        <u val="none"/>
        <vertAlign val="baseline"/>
        <name val="Myriad Pro"/>
        <family val="2"/>
        <scheme val="none"/>
      </font>
      <numFmt numFmtId="13" formatCode="0%"/>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Myriad Pro"/>
        <family val="2"/>
        <scheme val="none"/>
      </font>
      <numFmt numFmtId="2" formatCode="0.00"/>
      <alignment horizontal="center" vertical="center" textRotation="0" wrapText="0" indent="0" justifyLastLine="0" shrinkToFit="0" readingOrder="0"/>
    </dxf>
    <dxf>
      <font>
        <strike val="0"/>
        <outline val="0"/>
        <shadow val="0"/>
        <u val="none"/>
        <vertAlign val="baseline"/>
        <name val="Myriad Pro"/>
        <family val="2"/>
        <scheme val="none"/>
      </font>
      <numFmt numFmtId="2" formatCode="0.00"/>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Myriad Pro"/>
        <family val="2"/>
        <scheme val="none"/>
      </font>
      <numFmt numFmtId="13" formatCode="0%"/>
      <alignment horizontal="center" vertical="center" textRotation="0" wrapText="0" indent="0" justifyLastLine="0" shrinkToFit="0" readingOrder="0"/>
    </dxf>
    <dxf>
      <font>
        <b val="0"/>
        <i val="0"/>
        <strike val="0"/>
        <condense val="0"/>
        <extend val="0"/>
        <outline val="0"/>
        <shadow val="0"/>
        <u val="none"/>
        <vertAlign val="baseline"/>
        <sz val="11"/>
        <color theme="1"/>
        <name val="Myriad Pro"/>
        <family val="2"/>
        <scheme val="none"/>
      </font>
      <numFmt numFmtId="13" formatCode="0%"/>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Myriad Pro"/>
        <family val="2"/>
        <scheme val="none"/>
      </font>
      <numFmt numFmtId="1" formatCode="0"/>
      <alignment horizontal="center" vertical="center" textRotation="0" wrapText="0" indent="0" justifyLastLine="0" shrinkToFit="0" readingOrder="0"/>
    </dxf>
    <dxf>
      <font>
        <strike val="0"/>
        <outline val="0"/>
        <shadow val="0"/>
        <u val="none"/>
        <vertAlign val="baseline"/>
        <name val="Myriad Pro"/>
        <family val="2"/>
        <scheme val="none"/>
      </font>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Myriad Pro"/>
        <family val="2"/>
        <scheme val="none"/>
      </font>
      <numFmt numFmtId="13" formatCode="0%"/>
      <alignment horizontal="center" vertical="center" textRotation="0" wrapText="0" indent="0" justifyLastLine="0" shrinkToFit="0" readingOrder="0"/>
    </dxf>
    <dxf>
      <font>
        <strike val="0"/>
        <outline val="0"/>
        <shadow val="0"/>
        <u val="none"/>
        <vertAlign val="baseline"/>
        <name val="Myriad Pro"/>
        <family val="2"/>
        <scheme val="none"/>
      </font>
      <fill>
        <patternFill patternType="none">
          <fgColor indexed="64"/>
          <bgColor auto="1"/>
        </patternFill>
      </fill>
      <alignment vertical="center" textRotation="0" indent="0" justifyLastLine="0" shrinkToFit="0" readingOrder="0"/>
    </dxf>
    <dxf>
      <font>
        <b val="0"/>
        <i val="0"/>
        <strike val="0"/>
        <condense val="0"/>
        <extend val="0"/>
        <outline val="0"/>
        <shadow val="0"/>
        <u val="none"/>
        <vertAlign val="baseline"/>
        <sz val="11"/>
        <color theme="1"/>
        <name val="Myriad Pro"/>
        <family val="2"/>
        <scheme val="none"/>
      </font>
      <fill>
        <patternFill patternType="none">
          <fgColor indexed="64"/>
          <bgColor indexed="65"/>
        </patternFill>
      </fill>
      <alignment horizontal="center" vertical="center" textRotation="0" wrapText="0" indent="0" justifyLastLine="0" shrinkToFit="0" readingOrder="0"/>
    </dxf>
    <dxf>
      <font>
        <strike val="0"/>
        <outline val="0"/>
        <shadow val="0"/>
        <u val="none"/>
        <vertAlign val="baseline"/>
        <name val="Myriad Pro"/>
        <family val="2"/>
        <scheme val="none"/>
      </font>
      <fill>
        <patternFill patternType="none">
          <fgColor indexed="64"/>
          <bgColor auto="1"/>
        </patternFill>
      </fill>
      <alignment vertical="center" textRotation="0" indent="0" justifyLastLine="0" shrinkToFit="0" readingOrder="0"/>
    </dxf>
    <dxf>
      <font>
        <b/>
        <i val="0"/>
        <strike val="0"/>
        <condense val="0"/>
        <extend val="0"/>
        <outline val="0"/>
        <shadow val="0"/>
        <u val="none"/>
        <vertAlign val="baseline"/>
        <sz val="11"/>
        <color rgb="FFFFFFFF"/>
        <name val="Myriad Pro"/>
        <family val="2"/>
        <scheme val="none"/>
      </font>
      <fill>
        <patternFill patternType="solid">
          <fgColor indexed="64"/>
          <bgColor rgb="FF0C4270"/>
        </patternFill>
      </fill>
      <alignment horizontal="center" vertical="center" textRotation="0" wrapText="1" indent="0" justifyLastLine="0" shrinkToFit="0" readingOrder="0"/>
    </dxf>
  </dxfs>
  <tableStyles count="0" defaultTableStyle="TableStyleMedium9" defaultPivotStyle="PivotStyleLight16"/>
  <colors>
    <mruColors>
      <color rgb="FF006600"/>
      <color rgb="FF0C4270"/>
      <color rgb="FFAD9766"/>
      <color rgb="FF969595"/>
      <color rgb="FFDAB000"/>
      <color rgb="FFF0ECE4"/>
      <color rgb="FF7F869B"/>
      <color rgb="FFECE7DC"/>
      <color rgb="FFFFDD4F"/>
      <color rgb="FFFFF9D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4.5178078601904856E-2"/>
          <c:y val="4.7142922759677706E-2"/>
          <c:w val="0.93921751950917753"/>
          <c:h val="0.64067331146336215"/>
        </c:manualLayout>
      </c:layout>
      <c:barChart>
        <c:barDir val="col"/>
        <c:grouping val="clustered"/>
        <c:varyColors val="0"/>
        <c:ser>
          <c:idx val="0"/>
          <c:order val="0"/>
          <c:tx>
            <c:strRef>
              <c:f>'Executive Assessment Summary'!$E$48</c:f>
              <c:strCache>
                <c:ptCount val="1"/>
                <c:pt idx="0">
                  <c:v>Score %</c:v>
                </c:pt>
              </c:strCache>
            </c:strRef>
          </c:tx>
          <c:spPr>
            <a:gradFill rotWithShape="1">
              <a:gsLst>
                <a:gs pos="0">
                  <a:schemeClr val="dk1">
                    <a:tint val="88500"/>
                    <a:shade val="51000"/>
                    <a:satMod val="130000"/>
                  </a:schemeClr>
                </a:gs>
                <a:gs pos="80000">
                  <a:schemeClr val="dk1">
                    <a:tint val="88500"/>
                    <a:shade val="93000"/>
                    <a:satMod val="130000"/>
                  </a:schemeClr>
                </a:gs>
                <a:gs pos="100000">
                  <a:schemeClr val="dk1">
                    <a:tint val="88500"/>
                    <a:shade val="94000"/>
                    <a:satMod val="135000"/>
                  </a:schemeClr>
                </a:gs>
              </a:gsLst>
              <a:lin ang="16200000" scaled="0"/>
            </a:gradFill>
            <a:ln>
              <a:noFill/>
            </a:ln>
            <a:effectLst>
              <a:outerShdw blurRad="40000" dist="23000" dir="5400000" rotWithShape="0">
                <a:srgbClr val="000000">
                  <a:alpha val="35000"/>
                </a:srgbClr>
              </a:outerShdw>
            </a:effectLst>
          </c:spPr>
          <c:invertIfNegative val="0"/>
          <c:dPt>
            <c:idx val="0"/>
            <c:invertIfNegative val="0"/>
            <c:bubble3D val="0"/>
            <c:spPr>
              <a:gradFill rotWithShape="1">
                <a:gsLst>
                  <a:gs pos="0">
                    <a:schemeClr val="dk1">
                      <a:tint val="88500"/>
                      <a:shade val="51000"/>
                      <a:satMod val="130000"/>
                    </a:schemeClr>
                  </a:gs>
                  <a:gs pos="80000">
                    <a:schemeClr val="dk1">
                      <a:tint val="88500"/>
                      <a:shade val="93000"/>
                      <a:satMod val="130000"/>
                    </a:schemeClr>
                  </a:gs>
                  <a:gs pos="100000">
                    <a:schemeClr val="dk1">
                      <a:tint val="88500"/>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1-F307-408C-82D4-9C88AA5F6D03}"/>
              </c:ext>
            </c:extLst>
          </c:dPt>
          <c:dPt>
            <c:idx val="1"/>
            <c:invertIfNegative val="0"/>
            <c:bubble3D val="0"/>
            <c:spPr>
              <a:gradFill rotWithShape="1">
                <a:gsLst>
                  <a:gs pos="0">
                    <a:schemeClr val="dk1">
                      <a:tint val="88500"/>
                      <a:shade val="51000"/>
                      <a:satMod val="130000"/>
                    </a:schemeClr>
                  </a:gs>
                  <a:gs pos="80000">
                    <a:schemeClr val="dk1">
                      <a:tint val="88500"/>
                      <a:shade val="93000"/>
                      <a:satMod val="130000"/>
                    </a:schemeClr>
                  </a:gs>
                  <a:gs pos="100000">
                    <a:schemeClr val="dk1">
                      <a:tint val="88500"/>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3-F307-408C-82D4-9C88AA5F6D03}"/>
              </c:ext>
            </c:extLst>
          </c:dPt>
          <c:dPt>
            <c:idx val="2"/>
            <c:invertIfNegative val="0"/>
            <c:bubble3D val="0"/>
            <c:spPr>
              <a:gradFill rotWithShape="1">
                <a:gsLst>
                  <a:gs pos="0">
                    <a:schemeClr val="dk1">
                      <a:tint val="88500"/>
                      <a:shade val="51000"/>
                      <a:satMod val="130000"/>
                    </a:schemeClr>
                  </a:gs>
                  <a:gs pos="80000">
                    <a:schemeClr val="dk1">
                      <a:tint val="88500"/>
                      <a:shade val="93000"/>
                      <a:satMod val="130000"/>
                    </a:schemeClr>
                  </a:gs>
                  <a:gs pos="100000">
                    <a:schemeClr val="dk1">
                      <a:tint val="88500"/>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5-F307-408C-82D4-9C88AA5F6D03}"/>
              </c:ext>
            </c:extLst>
          </c:dPt>
          <c:dPt>
            <c:idx val="3"/>
            <c:invertIfNegative val="0"/>
            <c:bubble3D val="0"/>
            <c:spPr>
              <a:gradFill rotWithShape="1">
                <a:gsLst>
                  <a:gs pos="0">
                    <a:schemeClr val="dk1">
                      <a:tint val="88500"/>
                      <a:shade val="51000"/>
                      <a:satMod val="130000"/>
                    </a:schemeClr>
                  </a:gs>
                  <a:gs pos="80000">
                    <a:schemeClr val="dk1">
                      <a:tint val="88500"/>
                      <a:shade val="93000"/>
                      <a:satMod val="130000"/>
                    </a:schemeClr>
                  </a:gs>
                  <a:gs pos="100000">
                    <a:schemeClr val="dk1">
                      <a:tint val="88500"/>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7-F307-408C-82D4-9C88AA5F6D03}"/>
              </c:ext>
            </c:extLst>
          </c:dPt>
          <c:dPt>
            <c:idx val="4"/>
            <c:invertIfNegative val="0"/>
            <c:bubble3D val="0"/>
            <c:spPr>
              <a:gradFill rotWithShape="1">
                <a:gsLst>
                  <a:gs pos="0">
                    <a:schemeClr val="dk1">
                      <a:tint val="88500"/>
                      <a:shade val="51000"/>
                      <a:satMod val="130000"/>
                    </a:schemeClr>
                  </a:gs>
                  <a:gs pos="80000">
                    <a:schemeClr val="dk1">
                      <a:tint val="88500"/>
                      <a:shade val="93000"/>
                      <a:satMod val="130000"/>
                    </a:schemeClr>
                  </a:gs>
                  <a:gs pos="100000">
                    <a:schemeClr val="dk1">
                      <a:tint val="88500"/>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9-F307-408C-82D4-9C88AA5F6D03}"/>
              </c:ext>
            </c:extLst>
          </c:dPt>
          <c:dPt>
            <c:idx val="5"/>
            <c:invertIfNegative val="0"/>
            <c:bubble3D val="0"/>
            <c:spPr>
              <a:gradFill rotWithShape="1">
                <a:gsLst>
                  <a:gs pos="0">
                    <a:schemeClr val="dk1">
                      <a:tint val="88500"/>
                      <a:shade val="51000"/>
                      <a:satMod val="130000"/>
                    </a:schemeClr>
                  </a:gs>
                  <a:gs pos="80000">
                    <a:schemeClr val="dk1">
                      <a:tint val="88500"/>
                      <a:shade val="93000"/>
                      <a:satMod val="130000"/>
                    </a:schemeClr>
                  </a:gs>
                  <a:gs pos="100000">
                    <a:schemeClr val="dk1">
                      <a:tint val="88500"/>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B-F307-408C-82D4-9C88AA5F6D03}"/>
              </c:ext>
            </c:extLst>
          </c:dPt>
          <c:dPt>
            <c:idx val="6"/>
            <c:invertIfNegative val="0"/>
            <c:bubble3D val="0"/>
            <c:spPr>
              <a:gradFill rotWithShape="1">
                <a:gsLst>
                  <a:gs pos="0">
                    <a:schemeClr val="dk1">
                      <a:tint val="88500"/>
                      <a:shade val="51000"/>
                      <a:satMod val="130000"/>
                    </a:schemeClr>
                  </a:gs>
                  <a:gs pos="80000">
                    <a:schemeClr val="dk1">
                      <a:tint val="88500"/>
                      <a:shade val="93000"/>
                      <a:satMod val="130000"/>
                    </a:schemeClr>
                  </a:gs>
                  <a:gs pos="100000">
                    <a:schemeClr val="dk1">
                      <a:tint val="88500"/>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D-F307-408C-82D4-9C88AA5F6D03}"/>
              </c:ext>
            </c:extLst>
          </c:dPt>
          <c:dPt>
            <c:idx val="7"/>
            <c:invertIfNegative val="0"/>
            <c:bubble3D val="0"/>
            <c:spPr>
              <a:gradFill rotWithShape="1">
                <a:gsLst>
                  <a:gs pos="0">
                    <a:schemeClr val="dk1">
                      <a:tint val="88500"/>
                      <a:shade val="51000"/>
                      <a:satMod val="130000"/>
                    </a:schemeClr>
                  </a:gs>
                  <a:gs pos="80000">
                    <a:schemeClr val="dk1">
                      <a:tint val="88500"/>
                      <a:shade val="93000"/>
                      <a:satMod val="130000"/>
                    </a:schemeClr>
                  </a:gs>
                  <a:gs pos="100000">
                    <a:schemeClr val="dk1">
                      <a:tint val="88500"/>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F-F307-408C-82D4-9C88AA5F6D03}"/>
              </c:ext>
            </c:extLst>
          </c:dPt>
          <c:dPt>
            <c:idx val="8"/>
            <c:invertIfNegative val="0"/>
            <c:bubble3D val="0"/>
            <c:spPr>
              <a:gradFill rotWithShape="1">
                <a:gsLst>
                  <a:gs pos="0">
                    <a:schemeClr val="dk1">
                      <a:tint val="88500"/>
                      <a:shade val="51000"/>
                      <a:satMod val="130000"/>
                    </a:schemeClr>
                  </a:gs>
                  <a:gs pos="80000">
                    <a:schemeClr val="dk1">
                      <a:tint val="88500"/>
                      <a:shade val="93000"/>
                      <a:satMod val="130000"/>
                    </a:schemeClr>
                  </a:gs>
                  <a:gs pos="100000">
                    <a:schemeClr val="dk1">
                      <a:tint val="88500"/>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11-F307-408C-82D4-9C88AA5F6D03}"/>
              </c:ext>
            </c:extLst>
          </c:dPt>
          <c:dPt>
            <c:idx val="9"/>
            <c:invertIfNegative val="0"/>
            <c:bubble3D val="0"/>
            <c:spPr>
              <a:gradFill rotWithShape="1">
                <a:gsLst>
                  <a:gs pos="0">
                    <a:schemeClr val="dk1">
                      <a:tint val="88500"/>
                      <a:shade val="51000"/>
                      <a:satMod val="130000"/>
                    </a:schemeClr>
                  </a:gs>
                  <a:gs pos="80000">
                    <a:schemeClr val="dk1">
                      <a:tint val="88500"/>
                      <a:shade val="93000"/>
                      <a:satMod val="130000"/>
                    </a:schemeClr>
                  </a:gs>
                  <a:gs pos="100000">
                    <a:schemeClr val="dk1">
                      <a:tint val="88500"/>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13-F307-408C-82D4-9C88AA5F6D03}"/>
              </c:ext>
            </c:extLst>
          </c:dPt>
          <c:dPt>
            <c:idx val="10"/>
            <c:invertIfNegative val="0"/>
            <c:bubble3D val="0"/>
            <c:spPr>
              <a:gradFill rotWithShape="1">
                <a:gsLst>
                  <a:gs pos="0">
                    <a:schemeClr val="dk1">
                      <a:tint val="88500"/>
                      <a:shade val="51000"/>
                      <a:satMod val="130000"/>
                    </a:schemeClr>
                  </a:gs>
                  <a:gs pos="80000">
                    <a:schemeClr val="dk1">
                      <a:tint val="88500"/>
                      <a:shade val="93000"/>
                      <a:satMod val="130000"/>
                    </a:schemeClr>
                  </a:gs>
                  <a:gs pos="100000">
                    <a:schemeClr val="dk1">
                      <a:tint val="88500"/>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15-F307-408C-82D4-9C88AA5F6D03}"/>
              </c:ext>
            </c:extLst>
          </c:dPt>
          <c:dPt>
            <c:idx val="11"/>
            <c:invertIfNegative val="0"/>
            <c:bubble3D val="0"/>
            <c:spPr>
              <a:gradFill rotWithShape="1">
                <a:gsLst>
                  <a:gs pos="0">
                    <a:schemeClr val="dk1">
                      <a:tint val="88500"/>
                      <a:shade val="51000"/>
                      <a:satMod val="130000"/>
                    </a:schemeClr>
                  </a:gs>
                  <a:gs pos="80000">
                    <a:schemeClr val="dk1">
                      <a:tint val="88500"/>
                      <a:shade val="93000"/>
                      <a:satMod val="130000"/>
                    </a:schemeClr>
                  </a:gs>
                  <a:gs pos="100000">
                    <a:schemeClr val="dk1">
                      <a:tint val="88500"/>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17-F307-408C-82D4-9C88AA5F6D03}"/>
              </c:ext>
            </c:extLst>
          </c:dPt>
          <c:dPt>
            <c:idx val="12"/>
            <c:invertIfNegative val="0"/>
            <c:bubble3D val="0"/>
            <c:spPr>
              <a:gradFill rotWithShape="1">
                <a:gsLst>
                  <a:gs pos="0">
                    <a:schemeClr val="dk1">
                      <a:tint val="88500"/>
                      <a:shade val="51000"/>
                      <a:satMod val="130000"/>
                    </a:schemeClr>
                  </a:gs>
                  <a:gs pos="80000">
                    <a:schemeClr val="dk1">
                      <a:tint val="88500"/>
                      <a:shade val="93000"/>
                      <a:satMod val="130000"/>
                    </a:schemeClr>
                  </a:gs>
                  <a:gs pos="100000">
                    <a:schemeClr val="dk1">
                      <a:tint val="88500"/>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19-F307-408C-82D4-9C88AA5F6D03}"/>
              </c:ext>
            </c:extLst>
          </c:dPt>
          <c:dLbls>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yriad Pro" panose="020B0503030403020204"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'Executive Assessment Summary'!$C$49:$C$69</c:f>
              <c:strCache>
                <c:ptCount val="21"/>
                <c:pt idx="0">
                  <c:v>Fire_LifeSafety</c:v>
                </c:pt>
                <c:pt idx="1">
                  <c:v>Electrical</c:v>
                </c:pt>
                <c:pt idx="2">
                  <c:v>Emergency_Power</c:v>
                </c:pt>
                <c:pt idx="3">
                  <c:v>Mechanical_HVAC</c:v>
                </c:pt>
                <c:pt idx="4">
                  <c:v>Plumbing_Water</c:v>
                </c:pt>
                <c:pt idx="5">
                  <c:v>Gas_Systems</c:v>
                </c:pt>
                <c:pt idx="6">
                  <c:v>Vertical_Transportation</c:v>
                </c:pt>
                <c:pt idx="7">
                  <c:v>BMS_Controls</c:v>
                </c:pt>
                <c:pt idx="8">
                  <c:v>ELV_Systems</c:v>
                </c:pt>
                <c:pt idx="9">
                  <c:v>Security_Safety</c:v>
                </c:pt>
                <c:pt idx="10">
                  <c:v>Digital_ICT</c:v>
                </c:pt>
                <c:pt idx="11">
                  <c:v>Structural</c:v>
                </c:pt>
                <c:pt idx="12">
                  <c:v>Architectural_Fabric</c:v>
                </c:pt>
                <c:pt idx="13">
                  <c:v>External_Parking</c:v>
                </c:pt>
                <c:pt idx="14">
                  <c:v>Landscape</c:v>
                </c:pt>
                <c:pt idx="15">
                  <c:v>Pools_WaterFeatures</c:v>
                </c:pt>
                <c:pt idx="16">
                  <c:v>Waste_Management</c:v>
                </c:pt>
                <c:pt idx="17">
                  <c:v>Sustainability</c:v>
                </c:pt>
                <c:pt idx="18">
                  <c:v>Compliance_Documentation</c:v>
                </c:pt>
                <c:pt idx="19">
                  <c:v>FM_Performance</c:v>
                </c:pt>
                <c:pt idx="20">
                  <c:v>Governance_Readiness</c:v>
                </c:pt>
              </c:strCache>
            </c:strRef>
          </c:cat>
          <c:val>
            <c:numRef>
              <c:f>'Executive Assessment Summary'!$E$49:$E$69</c:f>
              <c:numCache>
                <c:formatCode>0%</c:formatCode>
                <c:ptCount val="21"/>
                <c:pt idx="0">
                  <c:v>0.53514000000000028</c:v>
                </c:pt>
                <c:pt idx="1">
                  <c:v>0.73286000000000018</c:v>
                </c:pt>
                <c:pt idx="2">
                  <c:v>0.76</c:v>
                </c:pt>
                <c:pt idx="3">
                  <c:v>0.6013799999999998</c:v>
                </c:pt>
                <c:pt idx="4">
                  <c:v>0.68793999999999977</c:v>
                </c:pt>
                <c:pt idx="5">
                  <c:v>0.69208000000000003</c:v>
                </c:pt>
                <c:pt idx="6">
                  <c:v>0.78660000000000008</c:v>
                </c:pt>
                <c:pt idx="7">
                  <c:v>0.62509999999999988</c:v>
                </c:pt>
                <c:pt idx="8">
                  <c:v>0.63048000000000026</c:v>
                </c:pt>
                <c:pt idx="9">
                  <c:v>0.67201999999999984</c:v>
                </c:pt>
                <c:pt idx="10">
                  <c:v>0.63684000000000018</c:v>
                </c:pt>
                <c:pt idx="11">
                  <c:v>0.68903999999999999</c:v>
                </c:pt>
                <c:pt idx="12">
                  <c:v>0.64063999999999965</c:v>
                </c:pt>
                <c:pt idx="13">
                  <c:v>0.65779999999999983</c:v>
                </c:pt>
                <c:pt idx="14">
                  <c:v>0.64063999999999988</c:v>
                </c:pt>
                <c:pt idx="15">
                  <c:v>0.61203999999999992</c:v>
                </c:pt>
                <c:pt idx="16">
                  <c:v>0.65207999999999988</c:v>
                </c:pt>
                <c:pt idx="17">
                  <c:v>0.60631999999999986</c:v>
                </c:pt>
                <c:pt idx="18">
                  <c:v>0.61248000000000014</c:v>
                </c:pt>
                <c:pt idx="19">
                  <c:v>0.61150000000000004</c:v>
                </c:pt>
                <c:pt idx="20">
                  <c:v>0.68000000000000016</c:v>
                </c:pt>
              </c:numCache>
            </c:numRef>
          </c:val>
          <c:extLst>
            <c:ext xmlns:c16="http://schemas.microsoft.com/office/drawing/2014/chart" uri="{C3380CC4-5D6E-409C-BE32-E72D297353CC}">
              <c16:uniqueId val="{00000000-C28D-4EF2-A611-1F7B4269B599}"/>
            </c:ext>
          </c:extLst>
        </c:ser>
        <c:dLbls>
          <c:showLegendKey val="0"/>
          <c:showVal val="0"/>
          <c:showCatName val="0"/>
          <c:showSerName val="0"/>
          <c:showPercent val="0"/>
          <c:showBubbleSize val="0"/>
        </c:dLbls>
        <c:gapWidth val="100"/>
        <c:overlap val="-24"/>
        <c:axId val="1409579375"/>
        <c:axId val="1409576975"/>
      </c:barChart>
      <c:catAx>
        <c:axId val="1409579375"/>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ysClr val="windowText" lastClr="000000"/>
                </a:solidFill>
                <a:latin typeface="Myriad Pro" panose="020B0503030403020204" pitchFamily="34" charset="0"/>
                <a:ea typeface="+mn-ea"/>
                <a:cs typeface="+mn-cs"/>
              </a:defRPr>
            </a:pPr>
            <a:endParaRPr lang="en-US"/>
          </a:p>
        </c:txPr>
        <c:crossAx val="1409576975"/>
        <c:crosses val="autoZero"/>
        <c:auto val="1"/>
        <c:lblAlgn val="ctr"/>
        <c:lblOffset val="100"/>
        <c:noMultiLvlLbl val="0"/>
      </c:catAx>
      <c:valAx>
        <c:axId val="1409576975"/>
        <c:scaling>
          <c:orientation val="minMax"/>
        </c:scaling>
        <c:delete val="0"/>
        <c:axPos val="l"/>
        <c:majorGridlines>
          <c:spPr>
            <a:ln w="9525" cap="flat" cmpd="sng" algn="ctr">
              <a:solidFill>
                <a:schemeClr val="tx2">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yriad Pro" panose="020B0503030403020204" pitchFamily="34" charset="0"/>
                <a:ea typeface="+mn-ea"/>
                <a:cs typeface="+mn-cs"/>
              </a:defRPr>
            </a:pPr>
            <a:endParaRPr lang="en-US"/>
          </a:p>
        </c:txPr>
        <c:crossAx val="14095793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ysClr val="window" lastClr="FFFFFF"/>
    </a:solidFill>
    <a:ln w="9525" cap="flat" cmpd="sng" algn="ctr">
      <a:solidFill>
        <a:schemeClr val="tx2">
          <a:lumMod val="15000"/>
          <a:lumOff val="85000"/>
        </a:schemeClr>
      </a:solidFill>
      <a:round/>
    </a:ln>
    <a:effectLst/>
  </c:spPr>
  <c:txPr>
    <a:bodyPr/>
    <a:lstStyle/>
    <a:p>
      <a:pPr>
        <a:defRPr>
          <a:solidFill>
            <a:sysClr val="windowText" lastClr="000000"/>
          </a:solidFill>
          <a:latin typeface="Myriad Pro" panose="020B0503030403020204" pitchFamily="34" charset="0"/>
        </a:defRPr>
      </a:pPr>
      <a:endParaRPr lang="en-US"/>
    </a:p>
  </c:txPr>
  <c:printSettings>
    <c:headerFooter/>
    <c:pageMargins b="0.75" l="0.7" r="0.7" t="0.75" header="0.3" footer="0.3"/>
    <c:pageSetup orientation="landscape"/>
  </c:printSettings>
</c:chartSpace>
</file>

<file path=xl/charts/colors1.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style1.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224366</xdr:colOff>
      <xdr:row>30</xdr:row>
      <xdr:rowOff>108858</xdr:rowOff>
    </xdr:from>
    <xdr:to>
      <xdr:col>6</xdr:col>
      <xdr:colOff>2209800</xdr:colOff>
      <xdr:row>43</xdr:row>
      <xdr:rowOff>21771</xdr:rowOff>
    </xdr:to>
    <xdr:graphicFrame macro="">
      <xdr:nvGraphicFramePr>
        <xdr:cNvPr id="4" name="Chart 3">
          <a:extLst>
            <a:ext uri="{FF2B5EF4-FFF2-40B4-BE49-F238E27FC236}">
              <a16:creationId xmlns:a16="http://schemas.microsoft.com/office/drawing/2014/main" id="{EAEF3A10-411F-3F53-EA80-248DC2B69B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FE64CCF-FE12-4DB6-BCD6-E37D5C3190E8}" name="Table2" displayName="Table2" ref="C48:G70" totalsRowCount="1" headerRowDxfId="57" dataDxfId="56" totalsRowDxfId="55" totalsRowCellStyle="Percent">
  <autoFilter ref="C48:G69" xr:uid="{EFE64CCF-FE12-4DB6-BCD6-E37D5C3190E8}"/>
  <tableColumns count="5">
    <tableColumn id="1" xr3:uid="{8AEAC690-793F-4C4A-8ECD-8284BCCA0000}" name="System" totalsRowLabel="Total Inspected Items" dataDxfId="54" totalsRowDxfId="53"/>
    <tableColumn id="2" xr3:uid="{CF72515B-FFA4-4E5F-BCF3-5FF5375C0C9C}" name="Item Count" totalsRowFunction="sum" dataDxfId="52" totalsRowDxfId="51">
      <calculatedColumnFormula>COUNTIF('Building Assessment'!A:A,'Executive Assessment Summary'!C49)</calculatedColumnFormula>
    </tableColumn>
    <tableColumn id="3" xr3:uid="{F095421B-3EEF-45C7-8F62-DF34B93CE7BC}" name="Score %" totalsRowLabel="Total Weight" dataDxfId="50" totalsRowDxfId="49" dataCellStyle="Percent">
      <calculatedColumnFormula>SUMIF('Building Assessment'!A:A,'Executive Assessment Summary'!C49,'Building Assessment'!O:O)/100</calculatedColumnFormula>
    </tableColumn>
    <tableColumn id="5" xr3:uid="{1BA033FF-DCDD-474F-B34B-29710155CCE4}" name="Weight" totalsRowFunction="custom" dataDxfId="48" totalsRowDxfId="47" dataCellStyle="Percent">
      <totalsRowFormula>SUM(F49:F69)</totalsRowFormula>
    </tableColumn>
    <tableColumn id="6" xr3:uid="{2C4D4BE9-ABCB-4392-8863-CFE1E78FFD89}" name="Weighted Score" totalsRowFunction="sum" dataDxfId="46" totalsRowDxfId="45">
      <calculatedColumnFormula>Table2[[#This Row],[Weight]]*Table2[[#This Row],[Score %]]/100</calculatedColumnFormula>
    </tableColumn>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CB2395D-50E7-45C8-9A4A-1CA502477FDC}" name="Table1" displayName="Table1" ref="B3:H35" totalsRowShown="0" headerRowDxfId="44" dataDxfId="43">
  <autoFilter ref="B3:H35" xr:uid="{DCB2395D-50E7-45C8-9A4A-1CA502477FDC}"/>
  <tableColumns count="7">
    <tableColumn id="1" xr3:uid="{913EF14A-A5BA-4E29-8802-D314A5657D13}" name="Area" dataDxfId="42"/>
    <tableColumn id="2" xr3:uid="{42D10D4E-BE8D-4A11-A1BD-2C583FECCF6E}" name="Requirement" dataDxfId="41"/>
    <tableColumn id="3" xr3:uid="{2E074468-6D81-4864-87F9-3EA6925903A6}" name="Status_x000a_(Please Select from the list)" dataDxfId="40"/>
    <tableColumn id="7" xr3:uid="{15041D53-20A5-4864-BBFE-B8731E796C21}" name="Evidence Required" dataDxfId="39"/>
    <tableColumn id="6" xr3:uid="{6DC77201-BDDD-4BF9-9FEA-5E1D95F43899}" name="Item Code" dataDxfId="38"/>
    <tableColumn id="4" xr3:uid="{A3549912-CDF3-48CD-BA1E-015C2ADB9E79}" name="Evidence Ref" dataDxfId="37"/>
    <tableColumn id="5" xr3:uid="{01274574-BE6E-4BAC-B0F7-98C208A0CF2A}" name="Remarks" dataDxfId="36"/>
  </tableColumns>
  <tableStyleInfo name="TableStyleLight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425BEA61-60CB-469C-8AF7-AEFE98160785}" name="Table10" displayName="Table10" ref="A9:C277" totalsRowShown="0" headerRowDxfId="35" tableBorderDxfId="34">
  <autoFilter ref="A9:C277" xr:uid="{425BEA61-60CB-469C-8AF7-AEFE98160785}">
    <filterColumn colId="2">
      <filters>
        <filter val="System Utilization"/>
      </filters>
    </filterColumn>
  </autoFilter>
  <tableColumns count="3">
    <tableColumn id="1" xr3:uid="{E9597F33-77D5-4B2D-AF20-05FBF0FC6DBB}" name="System"/>
    <tableColumn id="2" xr3:uid="{3F714F5C-1D9E-480E-A88D-3E1D1B070B53}" name="Subsystem"/>
    <tableColumn id="3" xr3:uid="{96EBDDFC-252A-418F-BF34-976393750971}" name="Component"/>
  </tableColumns>
  <tableStyleInfo name="TableStyleLight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95456A35-C579-4DB6-96F5-09E4A6EBD5AB}" name="Table9" displayName="Table9" ref="A1:V695" totalsRowShown="0" headerRowDxfId="33" dataDxfId="32" tableBorderDxfId="31">
  <autoFilter ref="A1:V695" xr:uid="{95456A35-C579-4DB6-96F5-09E4A6EBD5AB}"/>
  <tableColumns count="22">
    <tableColumn id="1" xr3:uid="{E4C279E2-015B-4907-A5CA-06C353A68CCB}" name="System" dataDxfId="30"/>
    <tableColumn id="2" xr3:uid="{F4104BB3-F254-4816-BCDD-A9B4E034B9AD}" name="Subsystem_x000a_(Please Select from the list)" dataDxfId="29"/>
    <tableColumn id="3" xr3:uid="{5E45A5EF-A7F0-470F-BD28-47762884EDB6}" name="Component_x000a_(Please Select from the list)" dataDxfId="28"/>
    <tableColumn id="4" xr3:uid="{54D1F839-720A-4C71-B968-4D2F24E574CF}" name="Item Code" dataDxfId="27"/>
    <tableColumn id="5" xr3:uid="{B348AFCA-0AF6-451E-A50D-466E3F015AB5}" name="Inspection Item" dataDxfId="26"/>
    <tableColumn id="6" xr3:uid="{6C91B7FF-8042-49E7-85B5-19043114963F}" name="Criteria" dataDxfId="25"/>
    <tableColumn id="7" xr3:uid="{57BD8D90-EE2E-4751-A376-0A52604E1A45}" name="Test Method" dataDxfId="24"/>
    <tableColumn id="21" xr3:uid="{85F6CDFF-463B-4204-886C-1B3588223E5F}" name="Asset(s) Tag No." dataDxfId="23"/>
    <tableColumn id="12" xr3:uid="{D35D688B-8DA7-4B0E-866F-C990DBDDC433}" name="Snag Location" dataDxfId="22"/>
    <tableColumn id="13" xr3:uid="{FFACB24B-FFC6-4832-B518-02F6F7704705}" name="Snag Evidence Ref." dataDxfId="21"/>
    <tableColumn id="14" xr3:uid="{2E1AAAAA-9196-40C4-933C-84DDAF884648}" name="Snag Evidence Type_x000a_(Please Select from the list)" dataDxfId="20"/>
    <tableColumn id="8" xr3:uid="{BBFA7282-E9E7-4A29-BEE9-36C17DF8B0E8}" name="Rate_x000a_(Please Select from the list)" dataDxfId="19"/>
    <tableColumn id="10" xr3:uid="{66F98094-352D-48E6-843C-C3BC81ABF384}" name="Score %" dataDxfId="18">
      <calculatedColumnFormula>Table9[[#This Row],[Rate
(Please Select from the list)]]/5</calculatedColumnFormula>
    </tableColumn>
    <tableColumn id="9" xr3:uid="{95D18A7A-810C-41D2-8DC5-6E760E0BC25A}" name="Item Weight_x000a_(Please Select from the list)" dataDxfId="17"/>
    <tableColumn id="11" xr3:uid="{99F42BEA-D629-4533-9216-82348B4508F3}" name="Weighted Score" dataDxfId="16">
      <calculatedColumnFormula>Table9[[#This Row],[Score %]]*Table9[[#This Row],[Item Weight
(Please Select from the list)]]</calculatedColumnFormula>
    </tableColumn>
    <tableColumn id="23" xr3:uid="{B7EF09B3-80AB-4C36-8ECE-D4E186D0F73E}" name="Risk Criticality (0-5)" dataDxfId="15"/>
    <tableColumn id="15" xr3:uid="{AA6162AF-2A53-4E5B-9397-05ABC68E1DD7}" name="Responsibility_x000a_(Please Select from the list)" dataDxfId="14"/>
    <tableColumn id="18" xr3:uid="{08DFEB8F-89CF-4BBD-A3F6-C66BCD474443}" name="CAPA ID" dataDxfId="13"/>
    <tableColumn id="16" xr3:uid="{A9BF9829-E86B-479C-AABB-66FF5C184921}" name="Priority_x000a_(Please Select from the list)" dataDxfId="12"/>
    <tableColumn id="17" xr3:uid="{604A92CD-F126-47D5-B36F-621F68E8E465}" name="Due Date" dataDxfId="11"/>
    <tableColumn id="19" xr3:uid="{E736C9A9-AD87-461E-985B-2EF5FB1B7A86}" name="Status_x000a_(Please Select from the list)" dataDxfId="10"/>
    <tableColumn id="20" xr3:uid="{733E5721-B986-4E8D-9C13-1DD01982BE87}" name="Remarks" dataDxfId="9"/>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A0494B-A2CE-46F0-A37C-0199557D9C6D}">
  <sheetPr codeName="Sheet2"/>
  <dimension ref="A1:S70"/>
  <sheetViews>
    <sheetView showGridLines="0" topLeftCell="A23" zoomScale="85" zoomScaleNormal="85" workbookViewId="0">
      <selection activeCell="J47" sqref="J47"/>
    </sheetView>
  </sheetViews>
  <sheetFormatPr defaultRowHeight="13.8"/>
  <cols>
    <col min="1" max="1" width="8.88671875" style="7"/>
    <col min="2" max="2" width="3.88671875" style="7" customWidth="1"/>
    <col min="3" max="3" width="30.33203125" style="7" customWidth="1"/>
    <col min="4" max="4" width="38.77734375" style="7" customWidth="1"/>
    <col min="5" max="5" width="8.88671875" style="7"/>
    <col min="6" max="6" width="17.77734375" style="7" customWidth="1"/>
    <col min="7" max="9" width="8.88671875" style="7"/>
    <col min="10" max="10" width="29.21875" style="7" customWidth="1"/>
    <col min="11" max="16384" width="8.88671875" style="7"/>
  </cols>
  <sheetData>
    <row r="1" spans="1:16">
      <c r="A1" s="90" t="s">
        <v>1469</v>
      </c>
    </row>
    <row r="2" spans="1:16">
      <c r="A2" s="90"/>
    </row>
    <row r="3" spans="1:16">
      <c r="A3" s="90"/>
    </row>
    <row r="4" spans="1:16">
      <c r="A4" s="90"/>
      <c r="B4" s="4"/>
      <c r="C4" s="4"/>
      <c r="D4" s="4"/>
      <c r="E4" s="4"/>
      <c r="F4" s="4"/>
      <c r="G4" s="4"/>
      <c r="H4" s="4"/>
      <c r="I4" s="4"/>
      <c r="J4" s="4"/>
      <c r="K4" s="4"/>
      <c r="L4" s="4"/>
      <c r="M4" s="4"/>
      <c r="N4" s="4"/>
      <c r="O4" s="4"/>
      <c r="P4" s="4"/>
    </row>
    <row r="5" spans="1:16" ht="15.6">
      <c r="A5" s="90"/>
      <c r="B5" s="4"/>
      <c r="C5" s="72" t="s">
        <v>1389</v>
      </c>
      <c r="D5" s="4"/>
      <c r="E5" s="4"/>
      <c r="F5" s="4"/>
      <c r="G5" s="4"/>
      <c r="H5" s="4"/>
      <c r="I5" s="4"/>
      <c r="J5" s="4"/>
      <c r="K5" s="4"/>
      <c r="L5" s="4"/>
      <c r="M5" s="4"/>
      <c r="N5" s="4"/>
      <c r="O5" s="4"/>
      <c r="P5" s="4"/>
    </row>
    <row r="6" spans="1:16">
      <c r="A6" s="90"/>
      <c r="B6" s="4"/>
      <c r="C6" s="4" t="s">
        <v>1390</v>
      </c>
      <c r="D6" s="4"/>
      <c r="E6" s="4"/>
      <c r="F6" s="4"/>
      <c r="G6" s="4"/>
      <c r="H6" s="4"/>
      <c r="I6" s="4"/>
      <c r="J6" s="4"/>
      <c r="K6" s="4"/>
      <c r="L6" s="4"/>
      <c r="M6" s="4"/>
      <c r="N6" s="4"/>
      <c r="O6" s="4"/>
      <c r="P6" s="4"/>
    </row>
    <row r="7" spans="1:16">
      <c r="A7" s="90"/>
      <c r="B7" s="4"/>
      <c r="C7" s="4" t="s">
        <v>1392</v>
      </c>
      <c r="D7" s="4"/>
      <c r="E7" s="4"/>
      <c r="F7" s="4"/>
      <c r="G7" s="4"/>
      <c r="H7" s="4"/>
      <c r="I7" s="4"/>
      <c r="J7" s="4"/>
      <c r="K7" s="4"/>
      <c r="L7" s="4"/>
      <c r="M7" s="4"/>
      <c r="N7" s="4"/>
      <c r="O7" s="4"/>
      <c r="P7" s="4"/>
    </row>
    <row r="8" spans="1:16">
      <c r="A8" s="90"/>
      <c r="B8" s="4"/>
      <c r="C8" s="4" t="s">
        <v>1393</v>
      </c>
      <c r="D8" s="4"/>
      <c r="E8" s="4"/>
      <c r="F8" s="4"/>
      <c r="G8" s="4"/>
      <c r="H8" s="4"/>
      <c r="I8" s="4"/>
      <c r="J8" s="4"/>
      <c r="K8" s="4"/>
      <c r="L8" s="4"/>
      <c r="M8" s="4"/>
      <c r="N8" s="4"/>
      <c r="O8" s="4"/>
      <c r="P8" s="4"/>
    </row>
    <row r="9" spans="1:16">
      <c r="A9" s="90"/>
      <c r="B9" s="4"/>
      <c r="C9" s="4" t="s">
        <v>1394</v>
      </c>
      <c r="D9" s="4"/>
      <c r="E9" s="4"/>
      <c r="F9" s="4"/>
      <c r="G9" s="4"/>
      <c r="H9" s="4"/>
      <c r="I9" s="4"/>
      <c r="J9" s="4"/>
      <c r="K9" s="4"/>
      <c r="L9" s="4"/>
      <c r="M9" s="4"/>
      <c r="N9" s="4"/>
      <c r="O9" s="4"/>
      <c r="P9" s="4"/>
    </row>
    <row r="10" spans="1:16">
      <c r="A10" s="90"/>
      <c r="B10" s="4"/>
      <c r="C10" s="4" t="s">
        <v>1391</v>
      </c>
      <c r="D10" s="4"/>
      <c r="E10" s="4"/>
      <c r="F10" s="4"/>
      <c r="G10" s="4"/>
      <c r="H10" s="4"/>
      <c r="I10" s="4"/>
      <c r="J10" s="4"/>
      <c r="K10" s="4"/>
      <c r="L10" s="4"/>
      <c r="M10" s="4"/>
      <c r="N10" s="4"/>
      <c r="O10" s="4"/>
      <c r="P10" s="4"/>
    </row>
    <row r="11" spans="1:16">
      <c r="A11" s="90"/>
      <c r="B11" s="4"/>
      <c r="C11" s="4"/>
      <c r="D11" s="4"/>
      <c r="E11" s="4"/>
      <c r="F11" s="4"/>
      <c r="G11" s="4"/>
      <c r="H11" s="4"/>
      <c r="I11" s="4"/>
      <c r="J11" s="4"/>
      <c r="K11" s="4"/>
      <c r="L11" s="4"/>
      <c r="M11" s="4"/>
      <c r="N11" s="4"/>
      <c r="O11" s="4"/>
      <c r="P11" s="4"/>
    </row>
    <row r="12" spans="1:16" ht="15.6">
      <c r="A12" s="90"/>
      <c r="B12" s="4"/>
      <c r="C12" s="72" t="s">
        <v>1395</v>
      </c>
      <c r="D12" s="4"/>
      <c r="E12" s="4"/>
      <c r="F12" s="4"/>
      <c r="G12" s="4"/>
      <c r="H12" s="4"/>
      <c r="I12" s="4"/>
      <c r="J12" s="4"/>
      <c r="K12" s="4"/>
      <c r="L12" s="4"/>
      <c r="M12" s="4"/>
      <c r="N12" s="4"/>
      <c r="O12" s="4"/>
      <c r="P12" s="4"/>
    </row>
    <row r="13" spans="1:16">
      <c r="A13" s="90"/>
      <c r="B13" s="4"/>
      <c r="C13" s="4" t="s">
        <v>1396</v>
      </c>
      <c r="D13" s="4"/>
      <c r="E13" s="4"/>
      <c r="F13" s="4"/>
      <c r="G13" s="4"/>
      <c r="H13" s="4"/>
      <c r="I13" s="4"/>
      <c r="J13" s="4"/>
      <c r="K13" s="4"/>
      <c r="L13" s="4"/>
      <c r="M13" s="4"/>
      <c r="N13" s="4"/>
      <c r="O13" s="4"/>
      <c r="P13" s="4"/>
    </row>
    <row r="14" spans="1:16">
      <c r="A14" s="90"/>
      <c r="B14" s="4"/>
      <c r="C14" s="4" t="s">
        <v>1397</v>
      </c>
      <c r="D14" s="4"/>
      <c r="E14" s="4"/>
      <c r="F14" s="4"/>
      <c r="G14" s="4"/>
      <c r="H14" s="4"/>
      <c r="I14" s="4"/>
      <c r="J14" s="4"/>
      <c r="K14" s="4"/>
      <c r="L14" s="4"/>
      <c r="M14" s="4"/>
      <c r="N14" s="4"/>
      <c r="O14" s="4"/>
      <c r="P14" s="4"/>
    </row>
    <row r="15" spans="1:16">
      <c r="A15" s="90"/>
      <c r="B15" s="4"/>
      <c r="C15" s="4" t="s">
        <v>1398</v>
      </c>
      <c r="D15" s="4"/>
      <c r="E15" s="4"/>
      <c r="F15" s="4"/>
      <c r="G15" s="4"/>
      <c r="H15" s="4"/>
      <c r="I15" s="4"/>
      <c r="J15" s="4"/>
      <c r="K15" s="4"/>
      <c r="L15" s="4"/>
      <c r="M15" s="4"/>
      <c r="N15" s="4"/>
      <c r="O15" s="4"/>
      <c r="P15" s="4"/>
    </row>
    <row r="16" spans="1:16">
      <c r="A16" s="90"/>
      <c r="B16" s="4"/>
      <c r="C16" s="4" t="s">
        <v>1399</v>
      </c>
      <c r="D16" s="4"/>
      <c r="E16" s="4"/>
      <c r="F16" s="4"/>
      <c r="G16" s="4"/>
      <c r="H16" s="4"/>
      <c r="I16" s="4"/>
      <c r="J16" s="4"/>
      <c r="K16" s="4"/>
      <c r="L16" s="4"/>
      <c r="M16" s="4"/>
      <c r="N16" s="4"/>
      <c r="O16" s="4"/>
      <c r="P16" s="4"/>
    </row>
    <row r="17" spans="1:16">
      <c r="A17" s="90"/>
      <c r="B17" s="4"/>
      <c r="C17" s="4" t="s">
        <v>1400</v>
      </c>
      <c r="D17" s="4"/>
      <c r="E17" s="4"/>
      <c r="F17" s="4"/>
      <c r="G17" s="4"/>
      <c r="H17" s="4"/>
      <c r="I17" s="4"/>
      <c r="J17" s="4"/>
      <c r="K17" s="4"/>
      <c r="L17" s="4"/>
      <c r="M17" s="4"/>
      <c r="N17" s="4"/>
      <c r="O17" s="4"/>
      <c r="P17" s="4"/>
    </row>
    <row r="18" spans="1:16">
      <c r="A18" s="90"/>
      <c r="B18" s="4"/>
      <c r="C18" s="4" t="s">
        <v>1401</v>
      </c>
      <c r="D18" s="4"/>
      <c r="E18" s="4"/>
      <c r="F18" s="4"/>
      <c r="G18" s="4"/>
      <c r="H18" s="4"/>
      <c r="I18" s="4"/>
      <c r="J18" s="4"/>
      <c r="K18" s="4"/>
      <c r="L18" s="4"/>
      <c r="M18" s="4"/>
      <c r="N18" s="4"/>
      <c r="O18" s="4"/>
      <c r="P18" s="4"/>
    </row>
    <row r="19" spans="1:16">
      <c r="A19" s="90"/>
      <c r="B19" s="4"/>
      <c r="C19" s="4"/>
      <c r="D19" s="4"/>
      <c r="E19" s="4"/>
      <c r="F19" s="4"/>
      <c r="G19" s="4"/>
      <c r="H19" s="4"/>
      <c r="I19" s="4"/>
      <c r="J19" s="4"/>
      <c r="K19" s="4"/>
      <c r="L19" s="4"/>
      <c r="M19" s="4"/>
      <c r="N19" s="4"/>
      <c r="O19" s="4"/>
      <c r="P19" s="4"/>
    </row>
    <row r="20" spans="1:16" ht="15.6">
      <c r="A20" s="90"/>
      <c r="B20" s="4"/>
      <c r="C20" s="72" t="s">
        <v>1419</v>
      </c>
      <c r="D20" s="4"/>
      <c r="E20" s="4"/>
      <c r="F20" s="4"/>
      <c r="G20" s="4"/>
      <c r="H20" s="4"/>
      <c r="I20" s="4"/>
      <c r="J20" s="4"/>
      <c r="K20" s="4"/>
      <c r="L20" s="4"/>
      <c r="M20" s="4"/>
      <c r="N20" s="4"/>
      <c r="O20" s="4"/>
      <c r="P20" s="4"/>
    </row>
    <row r="21" spans="1:16">
      <c r="A21" s="90"/>
      <c r="B21" s="4"/>
      <c r="C21" s="68" t="s">
        <v>1415</v>
      </c>
      <c r="D21" s="91" t="s">
        <v>1437</v>
      </c>
      <c r="E21" s="91"/>
      <c r="F21" s="91"/>
      <c r="G21" s="91"/>
      <c r="H21" s="91"/>
      <c r="I21" s="4"/>
      <c r="J21" s="4"/>
      <c r="K21" s="4"/>
      <c r="L21" s="4"/>
      <c r="M21" s="4"/>
      <c r="N21" s="4"/>
      <c r="O21" s="4"/>
      <c r="P21" s="4"/>
    </row>
    <row r="22" spans="1:16">
      <c r="A22" s="90"/>
      <c r="B22" s="4"/>
      <c r="C22" s="68" t="s">
        <v>1383</v>
      </c>
      <c r="D22" s="91" t="s">
        <v>1438</v>
      </c>
      <c r="E22" s="91"/>
      <c r="F22" s="91"/>
      <c r="G22" s="91"/>
      <c r="H22" s="91"/>
      <c r="I22" s="4"/>
      <c r="J22" s="4"/>
      <c r="K22" s="4"/>
      <c r="L22" s="4"/>
      <c r="M22" s="4"/>
      <c r="N22" s="4"/>
      <c r="O22" s="4"/>
      <c r="P22" s="4"/>
    </row>
    <row r="23" spans="1:16">
      <c r="A23" s="90"/>
      <c r="B23" s="4"/>
      <c r="C23" s="68" t="s">
        <v>1416</v>
      </c>
      <c r="D23" s="91" t="s">
        <v>1439</v>
      </c>
      <c r="E23" s="91"/>
      <c r="F23" s="91"/>
      <c r="G23" s="91"/>
      <c r="H23" s="91"/>
      <c r="I23" s="4"/>
      <c r="J23" s="4"/>
      <c r="K23" s="4"/>
      <c r="L23" s="4"/>
      <c r="M23" s="4"/>
      <c r="N23" s="4"/>
      <c r="O23" s="4"/>
      <c r="P23" s="4"/>
    </row>
    <row r="24" spans="1:16">
      <c r="A24" s="90"/>
      <c r="B24" s="4"/>
      <c r="C24" s="68" t="s">
        <v>1417</v>
      </c>
      <c r="D24" s="91" t="s">
        <v>1440</v>
      </c>
      <c r="E24" s="91"/>
      <c r="F24" s="91"/>
      <c r="G24" s="91"/>
      <c r="H24" s="91"/>
      <c r="I24" s="4"/>
      <c r="J24" s="4"/>
      <c r="K24" s="4"/>
      <c r="L24" s="4"/>
      <c r="M24" s="4"/>
      <c r="N24" s="4"/>
      <c r="O24" s="4"/>
      <c r="P24" s="4"/>
    </row>
    <row r="25" spans="1:16">
      <c r="A25" s="90"/>
      <c r="B25" s="4"/>
      <c r="C25" s="68" t="s">
        <v>1418</v>
      </c>
      <c r="D25" s="91" t="s">
        <v>1441</v>
      </c>
      <c r="E25" s="91"/>
      <c r="F25" s="91"/>
      <c r="G25" s="91"/>
      <c r="H25" s="91"/>
      <c r="I25" s="4"/>
      <c r="J25" s="4"/>
      <c r="K25" s="4"/>
      <c r="L25" s="4"/>
      <c r="M25" s="4"/>
      <c r="N25" s="4"/>
      <c r="O25" s="4"/>
      <c r="P25" s="4"/>
    </row>
    <row r="26" spans="1:16">
      <c r="A26" s="90"/>
      <c r="B26" s="4"/>
      <c r="C26" s="4"/>
      <c r="D26" s="4"/>
      <c r="E26" s="4"/>
      <c r="F26" s="4"/>
      <c r="G26" s="4"/>
      <c r="H26" s="4"/>
      <c r="I26" s="4"/>
      <c r="J26" s="4"/>
      <c r="K26" s="4"/>
      <c r="L26" s="4"/>
      <c r="M26" s="4"/>
      <c r="N26" s="4"/>
      <c r="O26" s="4"/>
      <c r="P26" s="4"/>
    </row>
    <row r="27" spans="1:16">
      <c r="A27" s="90"/>
      <c r="B27" s="4"/>
      <c r="C27" s="4"/>
      <c r="D27" s="4"/>
      <c r="E27" s="4"/>
      <c r="F27" s="4"/>
      <c r="G27" s="4"/>
      <c r="H27" s="4"/>
      <c r="I27" s="4"/>
      <c r="J27" s="4"/>
      <c r="K27" s="4"/>
      <c r="L27" s="4"/>
      <c r="M27" s="4"/>
      <c r="N27" s="4"/>
      <c r="O27" s="4"/>
      <c r="P27" s="4"/>
    </row>
    <row r="28" spans="1:16" ht="15.6">
      <c r="A28" s="90"/>
      <c r="B28" s="4"/>
      <c r="C28" s="72" t="s">
        <v>1402</v>
      </c>
      <c r="D28" s="4"/>
      <c r="E28" s="4"/>
      <c r="F28" s="4"/>
      <c r="G28" s="4"/>
      <c r="H28" s="4"/>
      <c r="I28" s="4"/>
      <c r="J28" s="4"/>
      <c r="K28" s="4"/>
      <c r="L28" s="4"/>
      <c r="M28" s="4"/>
      <c r="N28" s="4"/>
      <c r="O28" s="4"/>
      <c r="P28" s="4"/>
    </row>
    <row r="29" spans="1:16">
      <c r="A29" s="90"/>
      <c r="B29" s="4"/>
      <c r="C29" s="4" t="s">
        <v>1420</v>
      </c>
      <c r="D29" s="4"/>
      <c r="E29" s="4"/>
      <c r="F29" s="4"/>
      <c r="G29" s="4"/>
      <c r="H29" s="4"/>
      <c r="I29" s="4"/>
      <c r="J29" s="4"/>
      <c r="K29" s="4"/>
      <c r="L29" s="4"/>
      <c r="M29" s="4"/>
      <c r="N29" s="4"/>
      <c r="O29" s="4"/>
      <c r="P29" s="4"/>
    </row>
    <row r="30" spans="1:16">
      <c r="A30" s="90"/>
      <c r="B30" s="4"/>
      <c r="C30" s="4" t="s">
        <v>1421</v>
      </c>
      <c r="D30" s="4"/>
      <c r="E30" s="4"/>
      <c r="F30" s="4"/>
      <c r="G30" s="4"/>
      <c r="H30" s="4"/>
      <c r="I30" s="4"/>
      <c r="J30" s="4"/>
      <c r="K30" s="4"/>
      <c r="L30" s="4"/>
      <c r="M30" s="4"/>
      <c r="N30" s="4"/>
      <c r="O30" s="4"/>
      <c r="P30" s="4"/>
    </row>
    <row r="31" spans="1:16">
      <c r="A31" s="90"/>
      <c r="B31" s="4"/>
      <c r="C31" s="4" t="s">
        <v>1422</v>
      </c>
      <c r="D31" s="4"/>
      <c r="E31" s="4"/>
      <c r="F31" s="4"/>
      <c r="G31" s="4"/>
      <c r="H31" s="4"/>
      <c r="I31" s="4"/>
      <c r="J31" s="4"/>
      <c r="K31" s="4"/>
      <c r="L31" s="4"/>
      <c r="M31" s="4"/>
      <c r="N31" s="4"/>
      <c r="O31" s="4"/>
      <c r="P31" s="4"/>
    </row>
    <row r="32" spans="1:16">
      <c r="A32" s="90"/>
      <c r="B32" s="4"/>
      <c r="C32" s="4" t="s">
        <v>2702</v>
      </c>
      <c r="D32" s="4"/>
      <c r="E32" s="4"/>
      <c r="F32" s="4"/>
      <c r="G32" s="4"/>
      <c r="H32" s="4"/>
      <c r="I32" s="4"/>
      <c r="J32" s="4"/>
      <c r="K32" s="4"/>
      <c r="L32" s="4"/>
      <c r="M32" s="4"/>
      <c r="N32" s="4"/>
      <c r="O32" s="4"/>
      <c r="P32" s="4"/>
    </row>
    <row r="33" spans="1:19">
      <c r="A33" s="90"/>
      <c r="B33" s="4"/>
      <c r="C33" s="4" t="s">
        <v>1430</v>
      </c>
      <c r="D33" s="4"/>
      <c r="E33" s="4"/>
      <c r="F33" s="4"/>
      <c r="G33" s="4"/>
      <c r="H33" s="4"/>
      <c r="I33" s="4"/>
      <c r="J33" s="4"/>
      <c r="K33" s="4"/>
      <c r="L33" s="4"/>
      <c r="M33" s="4"/>
      <c r="N33" s="4"/>
      <c r="O33" s="4"/>
      <c r="P33" s="4"/>
    </row>
    <row r="34" spans="1:19">
      <c r="A34" s="90"/>
      <c r="B34" s="4"/>
      <c r="C34" s="4" t="s">
        <v>1423</v>
      </c>
      <c r="D34" s="4"/>
      <c r="E34" s="4"/>
      <c r="F34" s="4"/>
      <c r="G34" s="4"/>
      <c r="H34" s="4"/>
      <c r="I34" s="4"/>
      <c r="J34" s="4"/>
      <c r="K34" s="4"/>
      <c r="L34" s="4"/>
      <c r="M34" s="4"/>
      <c r="N34" s="4"/>
      <c r="O34" s="4"/>
      <c r="P34" s="4"/>
    </row>
    <row r="35" spans="1:19">
      <c r="A35" s="90"/>
      <c r="B35" s="4"/>
      <c r="C35" s="4" t="s">
        <v>1424</v>
      </c>
      <c r="D35" s="4"/>
      <c r="E35" s="4"/>
      <c r="F35" s="4"/>
      <c r="G35" s="4"/>
      <c r="H35" s="4"/>
      <c r="I35" s="4"/>
      <c r="J35" s="4"/>
      <c r="K35" s="4"/>
      <c r="L35" s="4"/>
      <c r="M35" s="4"/>
      <c r="N35" s="4"/>
      <c r="O35" s="4"/>
      <c r="P35" s="4"/>
    </row>
    <row r="36" spans="1:19">
      <c r="A36" s="90"/>
      <c r="B36" s="4"/>
      <c r="C36" s="4"/>
      <c r="D36" s="4"/>
      <c r="E36" s="4"/>
      <c r="F36" s="4"/>
      <c r="G36" s="4"/>
      <c r="H36" s="4"/>
      <c r="I36" s="4"/>
      <c r="J36" s="4"/>
      <c r="K36" s="4"/>
      <c r="L36" s="4"/>
      <c r="M36" s="4"/>
      <c r="N36" s="4"/>
      <c r="O36" s="4"/>
      <c r="P36" s="4"/>
    </row>
    <row r="37" spans="1:19">
      <c r="A37" s="90"/>
      <c r="B37" s="4"/>
      <c r="C37" s="4"/>
      <c r="D37" s="4"/>
      <c r="E37" s="4"/>
      <c r="F37" s="4"/>
      <c r="G37" s="4"/>
      <c r="H37" s="4"/>
      <c r="I37" s="4"/>
      <c r="J37" s="4"/>
      <c r="K37" s="4"/>
      <c r="L37" s="4"/>
      <c r="M37" s="4"/>
      <c r="N37" s="4"/>
      <c r="O37" s="4"/>
      <c r="P37" s="4"/>
    </row>
    <row r="38" spans="1:19" ht="15.6">
      <c r="A38" s="90"/>
      <c r="B38" s="4"/>
      <c r="C38" s="72" t="s">
        <v>1427</v>
      </c>
      <c r="D38" s="4"/>
      <c r="E38" s="4"/>
      <c r="F38" s="4"/>
      <c r="G38" s="4"/>
      <c r="H38" s="4"/>
      <c r="I38" s="4"/>
      <c r="J38" s="4"/>
      <c r="K38" s="4"/>
      <c r="L38" s="4"/>
      <c r="M38" s="4"/>
      <c r="N38" s="4"/>
      <c r="O38" s="4"/>
      <c r="P38" s="4"/>
    </row>
    <row r="39" spans="1:19">
      <c r="A39" s="90"/>
      <c r="B39" s="4"/>
      <c r="C39" s="4"/>
      <c r="D39" s="4"/>
      <c r="E39" s="4"/>
      <c r="F39" s="4"/>
      <c r="G39" s="4"/>
      <c r="H39" s="4"/>
      <c r="I39" s="4"/>
      <c r="J39" s="4"/>
      <c r="K39" s="4"/>
      <c r="L39" s="4"/>
      <c r="M39" s="4"/>
      <c r="N39" s="4"/>
      <c r="O39" s="4"/>
      <c r="P39" s="4"/>
    </row>
    <row r="40" spans="1:19">
      <c r="A40" s="90"/>
      <c r="B40" s="4"/>
      <c r="C40" s="67" t="s">
        <v>1428</v>
      </c>
      <c r="D40" s="4"/>
      <c r="E40" s="4"/>
      <c r="F40" s="67" t="s">
        <v>2704</v>
      </c>
      <c r="G40" s="4"/>
      <c r="H40" s="4"/>
      <c r="I40" s="4"/>
      <c r="J40" s="4"/>
      <c r="K40" s="4"/>
      <c r="L40" s="4"/>
      <c r="M40" s="4"/>
      <c r="N40" s="4"/>
      <c r="O40" s="4"/>
      <c r="P40" s="4"/>
    </row>
    <row r="41" spans="1:19" ht="14.4">
      <c r="A41" s="90"/>
      <c r="B41" s="4"/>
      <c r="C41" s="27" t="s">
        <v>1403</v>
      </c>
      <c r="D41" s="27" t="s">
        <v>1404</v>
      </c>
      <c r="E41" s="4"/>
      <c r="F41" s="27" t="s">
        <v>1536</v>
      </c>
      <c r="G41" s="27" t="s">
        <v>1404</v>
      </c>
      <c r="H41" s="27"/>
      <c r="I41" s="27"/>
      <c r="J41" s="4"/>
      <c r="K41" s="4"/>
      <c r="L41" s="4"/>
      <c r="M41" s="4"/>
      <c r="N41" s="4"/>
      <c r="O41" s="4"/>
      <c r="P41" s="4"/>
    </row>
    <row r="42" spans="1:19">
      <c r="A42" s="90"/>
      <c r="B42" s="4"/>
      <c r="C42" s="28">
        <v>5</v>
      </c>
      <c r="D42" s="4" t="s">
        <v>1405</v>
      </c>
      <c r="E42" s="4"/>
      <c r="F42" s="28">
        <v>5</v>
      </c>
      <c r="G42" s="4" t="s">
        <v>2709</v>
      </c>
      <c r="H42" s="4"/>
      <c r="I42" s="4"/>
      <c r="J42" s="4"/>
      <c r="K42" s="4"/>
      <c r="L42" s="4"/>
      <c r="M42" s="4"/>
      <c r="N42" s="4"/>
      <c r="O42" s="4"/>
      <c r="P42" s="4"/>
    </row>
    <row r="43" spans="1:19">
      <c r="A43" s="90"/>
      <c r="B43" s="4"/>
      <c r="C43" s="28">
        <v>4</v>
      </c>
      <c r="D43" s="4" t="s">
        <v>1406</v>
      </c>
      <c r="E43" s="4"/>
      <c r="F43" s="28">
        <v>4</v>
      </c>
      <c r="G43" s="4" t="s">
        <v>2708</v>
      </c>
      <c r="H43" s="4"/>
      <c r="I43" s="4"/>
      <c r="J43" s="4"/>
      <c r="K43" s="4"/>
      <c r="L43" s="4"/>
      <c r="M43" s="4"/>
      <c r="N43" s="4"/>
      <c r="O43" s="4"/>
      <c r="P43" s="4"/>
    </row>
    <row r="44" spans="1:19">
      <c r="A44" s="90"/>
      <c r="B44" s="4"/>
      <c r="C44" s="28">
        <v>3</v>
      </c>
      <c r="D44" s="4" t="s">
        <v>1407</v>
      </c>
      <c r="E44" s="4"/>
      <c r="F44" s="28">
        <v>3</v>
      </c>
      <c r="G44" s="4" t="s">
        <v>2707</v>
      </c>
      <c r="H44" s="4"/>
      <c r="I44" s="4"/>
      <c r="J44" s="4"/>
      <c r="K44" s="4"/>
      <c r="L44" s="4"/>
      <c r="M44" s="4"/>
      <c r="N44" s="4"/>
      <c r="O44" s="4"/>
      <c r="P44" s="4"/>
      <c r="Q44" s="4"/>
      <c r="R44" s="4"/>
      <c r="S44" s="4"/>
    </row>
    <row r="45" spans="1:19">
      <c r="A45" s="90"/>
      <c r="B45" s="4"/>
      <c r="C45" s="28">
        <v>2</v>
      </c>
      <c r="D45" s="4" t="s">
        <v>1408</v>
      </c>
      <c r="E45" s="4"/>
      <c r="F45" s="28">
        <v>2</v>
      </c>
      <c r="G45" s="4" t="s">
        <v>2706</v>
      </c>
      <c r="H45" s="4"/>
      <c r="I45" s="4"/>
      <c r="J45" s="4"/>
      <c r="K45" s="4"/>
      <c r="L45" s="4"/>
      <c r="M45" s="4"/>
      <c r="N45" s="4"/>
      <c r="O45" s="4"/>
      <c r="P45" s="4"/>
      <c r="Q45" s="4"/>
      <c r="R45" s="4"/>
      <c r="S45" s="4"/>
    </row>
    <row r="46" spans="1:19">
      <c r="A46" s="90"/>
      <c r="B46" s="4"/>
      <c r="C46" s="28">
        <v>1</v>
      </c>
      <c r="D46" s="4" t="s">
        <v>1409</v>
      </c>
      <c r="E46" s="4"/>
      <c r="F46" s="28">
        <v>1</v>
      </c>
      <c r="G46" s="4" t="s">
        <v>2705</v>
      </c>
      <c r="H46" s="4"/>
      <c r="I46" s="4"/>
      <c r="J46" s="4"/>
      <c r="K46" s="4"/>
      <c r="L46" s="4"/>
      <c r="M46" s="4"/>
      <c r="N46" s="4"/>
      <c r="O46" s="4"/>
      <c r="P46" s="4"/>
      <c r="Q46" s="4"/>
      <c r="R46" s="4"/>
      <c r="S46" s="4"/>
    </row>
    <row r="47" spans="1:19">
      <c r="A47" s="90"/>
      <c r="B47" s="4"/>
      <c r="C47" s="28">
        <v>0</v>
      </c>
      <c r="D47" s="4" t="s">
        <v>1410</v>
      </c>
      <c r="E47" s="4"/>
      <c r="F47" s="28">
        <v>0</v>
      </c>
      <c r="G47" s="4" t="s">
        <v>1410</v>
      </c>
      <c r="H47" s="4"/>
      <c r="I47" s="4"/>
      <c r="J47" s="4"/>
      <c r="K47" s="4"/>
      <c r="L47" s="4"/>
      <c r="M47" s="4"/>
      <c r="N47" s="4"/>
      <c r="O47" s="4"/>
      <c r="P47" s="4"/>
      <c r="Q47" s="4"/>
      <c r="R47" s="4"/>
      <c r="S47" s="4"/>
    </row>
    <row r="48" spans="1:19">
      <c r="A48" s="90"/>
      <c r="B48" s="4"/>
      <c r="C48" s="4"/>
      <c r="D48" s="4"/>
      <c r="E48" s="4"/>
      <c r="F48" s="4"/>
      <c r="I48" s="4"/>
      <c r="J48" s="4"/>
      <c r="K48" s="4"/>
      <c r="L48" s="4"/>
      <c r="M48" s="4"/>
      <c r="N48" s="4"/>
      <c r="O48" s="4"/>
      <c r="P48" s="4"/>
      <c r="Q48" s="4"/>
      <c r="R48" s="4"/>
      <c r="S48" s="4"/>
    </row>
    <row r="49" spans="1:19">
      <c r="A49" s="90"/>
      <c r="B49" s="4"/>
      <c r="C49" s="67" t="s">
        <v>1429</v>
      </c>
      <c r="D49" s="4"/>
      <c r="E49" s="4"/>
      <c r="I49" s="4"/>
      <c r="J49" s="4"/>
      <c r="K49" s="4"/>
      <c r="L49" s="4"/>
      <c r="M49" s="4"/>
      <c r="N49" s="4"/>
      <c r="O49" s="4"/>
      <c r="P49" s="4"/>
      <c r="Q49" s="4"/>
      <c r="R49" s="4"/>
      <c r="S49" s="4"/>
    </row>
    <row r="50" spans="1:19" ht="14.4">
      <c r="A50" s="90"/>
      <c r="B50" s="4"/>
      <c r="C50" s="27" t="s">
        <v>9</v>
      </c>
      <c r="D50" s="27" t="s">
        <v>1404</v>
      </c>
      <c r="E50" s="4"/>
      <c r="I50" s="4"/>
      <c r="J50" s="4"/>
      <c r="K50" s="4"/>
      <c r="L50" s="4"/>
      <c r="M50" s="4"/>
      <c r="N50" s="4"/>
      <c r="O50" s="4"/>
      <c r="P50" s="4"/>
      <c r="Q50" s="4"/>
      <c r="R50" s="4"/>
      <c r="S50" s="4"/>
    </row>
    <row r="51" spans="1:19">
      <c r="A51" s="90"/>
      <c r="B51" s="4"/>
      <c r="C51" s="28" t="s">
        <v>13</v>
      </c>
      <c r="D51" s="4" t="s">
        <v>1411</v>
      </c>
      <c r="E51" s="4"/>
      <c r="I51" s="4"/>
      <c r="J51" s="4"/>
      <c r="K51" s="4"/>
      <c r="L51" s="4"/>
      <c r="M51" s="4"/>
      <c r="N51" s="4"/>
      <c r="O51" s="4"/>
      <c r="P51" s="4"/>
      <c r="Q51" s="4"/>
      <c r="R51" s="4"/>
      <c r="S51" s="4"/>
    </row>
    <row r="52" spans="1:19">
      <c r="A52" s="90"/>
      <c r="B52" s="4"/>
      <c r="C52" s="28" t="s">
        <v>29</v>
      </c>
      <c r="D52" s="4" t="s">
        <v>1412</v>
      </c>
      <c r="E52" s="4"/>
      <c r="I52" s="4"/>
      <c r="J52" s="4"/>
      <c r="K52" s="4"/>
      <c r="L52" s="4"/>
      <c r="M52" s="4"/>
      <c r="N52" s="4"/>
      <c r="O52" s="4"/>
      <c r="P52" s="4"/>
      <c r="Q52" s="4"/>
      <c r="R52" s="4"/>
      <c r="S52" s="4"/>
    </row>
    <row r="53" spans="1:19">
      <c r="A53" s="90"/>
      <c r="B53" s="4"/>
      <c r="C53" s="28" t="s">
        <v>43</v>
      </c>
      <c r="D53" s="4" t="s">
        <v>1413</v>
      </c>
      <c r="E53" s="4"/>
      <c r="I53" s="4"/>
      <c r="J53" s="4"/>
      <c r="K53" s="4"/>
      <c r="L53" s="4"/>
      <c r="M53" s="4"/>
      <c r="N53" s="4"/>
      <c r="O53" s="4"/>
      <c r="P53" s="4"/>
      <c r="Q53" s="4"/>
      <c r="R53" s="4"/>
      <c r="S53" s="4"/>
    </row>
    <row r="54" spans="1:19">
      <c r="A54" s="90"/>
      <c r="B54" s="4"/>
      <c r="C54" s="28" t="s">
        <v>57</v>
      </c>
      <c r="D54" s="4" t="s">
        <v>1414</v>
      </c>
      <c r="E54" s="4"/>
      <c r="G54" s="4"/>
      <c r="H54" s="4"/>
      <c r="I54" s="4"/>
      <c r="J54" s="4"/>
      <c r="K54" s="4"/>
      <c r="L54" s="4"/>
      <c r="M54" s="4"/>
      <c r="N54" s="4"/>
      <c r="O54" s="4"/>
      <c r="P54" s="4"/>
      <c r="Q54" s="4"/>
      <c r="R54" s="4"/>
      <c r="S54" s="4"/>
    </row>
    <row r="55" spans="1:19">
      <c r="A55" s="90"/>
      <c r="B55" s="4"/>
      <c r="C55" s="8"/>
      <c r="D55" s="4"/>
      <c r="E55" s="4"/>
      <c r="G55" s="4"/>
      <c r="H55" s="4"/>
      <c r="I55" s="4"/>
      <c r="J55" s="4"/>
      <c r="K55" s="4"/>
      <c r="L55" s="4"/>
      <c r="M55" s="4"/>
      <c r="N55" s="4"/>
      <c r="O55" s="4"/>
      <c r="P55" s="4"/>
      <c r="Q55" s="4"/>
      <c r="R55" s="4"/>
      <c r="S55" s="4"/>
    </row>
    <row r="56" spans="1:19">
      <c r="A56" s="90"/>
      <c r="B56" s="4"/>
      <c r="C56" s="4"/>
      <c r="D56" s="4"/>
      <c r="E56" s="4"/>
      <c r="F56" s="4"/>
      <c r="G56" s="4"/>
      <c r="H56" s="4"/>
      <c r="I56" s="4"/>
      <c r="J56" s="4"/>
      <c r="K56" s="4"/>
      <c r="L56" s="4"/>
      <c r="M56" s="4"/>
      <c r="N56" s="4"/>
      <c r="O56" s="4"/>
      <c r="P56" s="4"/>
      <c r="Q56" s="4"/>
      <c r="R56" s="4"/>
      <c r="S56" s="4"/>
    </row>
    <row r="57" spans="1:19">
      <c r="A57" s="90"/>
    </row>
    <row r="58" spans="1:19">
      <c r="A58" s="90"/>
      <c r="C58" s="67" t="s">
        <v>1435</v>
      </c>
      <c r="F58" s="67" t="s">
        <v>1436</v>
      </c>
    </row>
    <row r="59" spans="1:19" ht="17.399999999999999">
      <c r="A59" s="90"/>
      <c r="C59" s="5" t="s">
        <v>1431</v>
      </c>
      <c r="F59" s="5" t="s">
        <v>1425</v>
      </c>
    </row>
    <row r="60" spans="1:19" ht="17.399999999999999">
      <c r="A60" s="90"/>
      <c r="C60" s="4" t="s">
        <v>1433</v>
      </c>
      <c r="F60" s="4" t="s">
        <v>1426</v>
      </c>
    </row>
    <row r="61" spans="1:19" ht="17.399999999999999">
      <c r="A61" s="90"/>
      <c r="C61" s="4" t="s">
        <v>1432</v>
      </c>
    </row>
    <row r="62" spans="1:19" ht="17.399999999999999">
      <c r="A62" s="90"/>
      <c r="C62" s="4" t="s">
        <v>1434</v>
      </c>
    </row>
    <row r="63" spans="1:19" ht="17.399999999999999">
      <c r="A63" s="90"/>
      <c r="C63" s="4" t="s">
        <v>1442</v>
      </c>
    </row>
    <row r="64" spans="1:19" ht="17.399999999999999">
      <c r="A64" s="90"/>
      <c r="C64" s="4" t="s">
        <v>1444</v>
      </c>
    </row>
    <row r="65" spans="1:3">
      <c r="A65" s="90"/>
    </row>
    <row r="66" spans="1:3">
      <c r="A66" s="90"/>
      <c r="C66" s="4"/>
    </row>
    <row r="67" spans="1:3">
      <c r="A67" s="90"/>
      <c r="C67" s="4"/>
    </row>
    <row r="68" spans="1:3">
      <c r="A68" s="90"/>
      <c r="C68" s="4"/>
    </row>
    <row r="69" spans="1:3">
      <c r="A69" s="90"/>
      <c r="C69" s="4"/>
    </row>
    <row r="70" spans="1:3">
      <c r="A70" s="90"/>
    </row>
  </sheetData>
  <sheetProtection algorithmName="SHA-512" hashValue="BN6uGRGx5bHccJeJJo93ZyoPqzh5fyToBZab3pEix4ZfDdewqseRAbz259N0gAUnysnNE3sSKgIRfDnfVA53lw==" saltValue="F7PLQFBrRDAiNagJ/DwM3g==" spinCount="100000" sheet="1" objects="1" scenarios="1"/>
  <mergeCells count="6">
    <mergeCell ref="A1:A70"/>
    <mergeCell ref="D25:H25"/>
    <mergeCell ref="D21:H21"/>
    <mergeCell ref="D22:H22"/>
    <mergeCell ref="D23:H23"/>
    <mergeCell ref="D24:H24"/>
  </mergeCells>
  <pageMargins left="0.25" right="0" top="1.25" bottom="0.75" header="0.3" footer="0.3"/>
  <pageSetup scale="63" orientation="portrait" r:id="rId1"/>
  <headerFooter>
    <oddHeader>&amp;L&amp;G</oddHeader>
  </headerFooter>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1FEA19-0EF9-4870-B441-82E6DC6229C1}">
  <sheetPr codeName="Sheet1"/>
  <dimension ref="A1:BV124"/>
  <sheetViews>
    <sheetView showGridLines="0" tabSelected="1" zoomScaleNormal="100" zoomScaleSheetLayoutView="100" zoomScalePageLayoutView="10" workbookViewId="0">
      <selection activeCell="E17" sqref="E17"/>
    </sheetView>
  </sheetViews>
  <sheetFormatPr defaultRowHeight="13.8"/>
  <cols>
    <col min="1" max="1" width="8.88671875" style="4"/>
    <col min="2" max="2" width="3.44140625" style="4" customWidth="1"/>
    <col min="3" max="3" width="32.33203125" style="4" customWidth="1"/>
    <col min="4" max="4" width="30.109375" style="4" customWidth="1"/>
    <col min="5" max="5" width="17" style="4" customWidth="1"/>
    <col min="6" max="6" width="30.44140625" style="8" bestFit="1" customWidth="1"/>
    <col min="7" max="7" width="32.5546875" style="4" customWidth="1"/>
    <col min="8" max="8" width="41.21875" style="4" bestFit="1" customWidth="1"/>
    <col min="9" max="13" width="35.6640625" style="4" bestFit="1" customWidth="1"/>
    <col min="14" max="14" width="11.21875" style="4" bestFit="1" customWidth="1"/>
    <col min="15" max="73" width="35.6640625" style="4" bestFit="1" customWidth="1"/>
    <col min="74" max="74" width="11.21875" style="4" bestFit="1" customWidth="1"/>
    <col min="75" max="16384" width="8.88671875" style="4"/>
  </cols>
  <sheetData>
    <row r="1" spans="1:10" ht="15" customHeight="1">
      <c r="A1" s="90" t="s">
        <v>1451</v>
      </c>
      <c r="B1" s="54"/>
      <c r="C1" s="54"/>
      <c r="E1" s="44" t="s">
        <v>1443</v>
      </c>
      <c r="F1" s="44"/>
      <c r="G1" s="44"/>
      <c r="H1" s="23"/>
      <c r="I1" s="23"/>
      <c r="J1" s="23"/>
    </row>
    <row r="2" spans="1:10" ht="37.799999999999997" customHeight="1">
      <c r="A2" s="90"/>
      <c r="B2" s="54"/>
      <c r="C2" s="45" t="s">
        <v>1365</v>
      </c>
      <c r="F2" s="4"/>
      <c r="H2" s="23"/>
      <c r="I2" s="23"/>
      <c r="J2" s="23"/>
    </row>
    <row r="3" spans="1:10" ht="10.199999999999999" customHeight="1">
      <c r="A3" s="90"/>
      <c r="B3" s="54"/>
      <c r="C3" s="29"/>
      <c r="F3" s="4"/>
      <c r="H3" s="23"/>
      <c r="I3" s="23"/>
      <c r="J3" s="23"/>
    </row>
    <row r="4" spans="1:10" s="5" customFormat="1">
      <c r="A4" s="90"/>
      <c r="B4" s="54"/>
      <c r="D4" s="46" t="s">
        <v>1366</v>
      </c>
      <c r="F4" s="30"/>
      <c r="G4" s="46" t="s">
        <v>1366</v>
      </c>
      <c r="H4" s="23"/>
      <c r="I4" s="23"/>
      <c r="J4" s="23"/>
    </row>
    <row r="5" spans="1:10" ht="18.600000000000001" customHeight="1">
      <c r="A5" s="90"/>
      <c r="B5" s="54"/>
      <c r="C5" s="58" t="s">
        <v>0</v>
      </c>
      <c r="D5" s="34" t="s">
        <v>2711</v>
      </c>
      <c r="F5" s="58" t="s">
        <v>3</v>
      </c>
      <c r="G5" s="32" t="s">
        <v>1464</v>
      </c>
      <c r="H5" s="23"/>
      <c r="I5" s="23"/>
      <c r="J5" s="23"/>
    </row>
    <row r="6" spans="1:10" ht="18.600000000000001" customHeight="1">
      <c r="A6" s="90"/>
      <c r="B6" s="54"/>
      <c r="C6" s="58" t="s">
        <v>1363</v>
      </c>
      <c r="D6" s="34" t="s">
        <v>2710</v>
      </c>
      <c r="F6" s="58" t="s">
        <v>4</v>
      </c>
      <c r="G6" s="34" t="s">
        <v>1468</v>
      </c>
      <c r="H6" s="23"/>
      <c r="I6" s="23"/>
      <c r="J6" s="23"/>
    </row>
    <row r="7" spans="1:10" ht="18.600000000000001" customHeight="1">
      <c r="A7" s="90"/>
      <c r="B7" s="54"/>
      <c r="C7" s="58" t="s">
        <v>1</v>
      </c>
      <c r="D7" s="34" t="s">
        <v>2711</v>
      </c>
      <c r="F7" s="58" t="s">
        <v>1446</v>
      </c>
      <c r="G7" s="32">
        <v>50000</v>
      </c>
      <c r="H7" s="23"/>
      <c r="I7" s="23"/>
      <c r="J7" s="23"/>
    </row>
    <row r="8" spans="1:10" ht="18.600000000000001" customHeight="1">
      <c r="A8" s="90"/>
      <c r="B8" s="54"/>
      <c r="C8" s="58" t="s">
        <v>2</v>
      </c>
      <c r="D8" s="34" t="s">
        <v>2711</v>
      </c>
      <c r="F8" s="58" t="s">
        <v>6</v>
      </c>
      <c r="G8" s="34">
        <v>22</v>
      </c>
      <c r="H8" s="23"/>
      <c r="I8" s="23"/>
      <c r="J8" s="23"/>
    </row>
    <row r="9" spans="1:10">
      <c r="A9" s="90"/>
      <c r="B9" s="54"/>
      <c r="D9" s="35"/>
      <c r="F9" s="32"/>
      <c r="H9" s="23"/>
      <c r="I9" s="23"/>
      <c r="J9" s="23"/>
    </row>
    <row r="10" spans="1:10">
      <c r="A10" s="90"/>
      <c r="B10" s="54"/>
      <c r="F10" s="32"/>
      <c r="H10" s="23"/>
      <c r="I10" s="23"/>
      <c r="J10" s="23"/>
    </row>
    <row r="11" spans="1:10">
      <c r="A11" s="90"/>
      <c r="B11" s="54"/>
      <c r="D11" s="46" t="s">
        <v>1366</v>
      </c>
      <c r="F11" s="32"/>
      <c r="G11" s="47" t="s">
        <v>1366</v>
      </c>
      <c r="H11" s="23"/>
      <c r="I11" s="23"/>
      <c r="J11" s="23"/>
    </row>
    <row r="12" spans="1:10" ht="20.399999999999999" customHeight="1">
      <c r="A12" s="90"/>
      <c r="B12" s="54"/>
      <c r="C12" s="58" t="s">
        <v>1453</v>
      </c>
      <c r="D12" s="65">
        <v>2025</v>
      </c>
      <c r="F12" s="58" t="s">
        <v>1360</v>
      </c>
      <c r="G12" s="33">
        <v>50</v>
      </c>
      <c r="H12" s="23"/>
      <c r="I12" s="23"/>
      <c r="J12" s="23"/>
    </row>
    <row r="13" spans="1:10" ht="20.399999999999999" customHeight="1">
      <c r="A13" s="90"/>
      <c r="B13" s="54"/>
      <c r="C13" s="58" t="s">
        <v>8</v>
      </c>
      <c r="D13" s="33" t="s">
        <v>2712</v>
      </c>
      <c r="F13" s="58" t="s">
        <v>1449</v>
      </c>
      <c r="G13" s="33">
        <v>2058</v>
      </c>
      <c r="H13" s="23"/>
      <c r="I13" s="23"/>
      <c r="J13" s="23"/>
    </row>
    <row r="14" spans="1:10" ht="20.399999999999999" customHeight="1">
      <c r="A14" s="90"/>
      <c r="B14" s="54"/>
      <c r="C14" s="58" t="s">
        <v>1361</v>
      </c>
      <c r="D14" s="33">
        <v>2025</v>
      </c>
      <c r="F14" s="58" t="s">
        <v>1353</v>
      </c>
      <c r="G14" s="62">
        <v>0.71</v>
      </c>
      <c r="H14" s="23"/>
      <c r="I14" s="23"/>
      <c r="J14" s="23"/>
    </row>
    <row r="15" spans="1:10" s="24" customFormat="1" ht="20.399999999999999" customHeight="1">
      <c r="A15" s="90"/>
      <c r="B15" s="54"/>
      <c r="C15" s="58" t="s">
        <v>5</v>
      </c>
      <c r="D15" s="33">
        <v>2008</v>
      </c>
      <c r="F15" s="58" t="s">
        <v>7</v>
      </c>
      <c r="G15" s="64">
        <v>45999</v>
      </c>
    </row>
    <row r="16" spans="1:10" s="24" customFormat="1" ht="20.399999999999999">
      <c r="A16" s="90"/>
      <c r="B16" s="54"/>
      <c r="C16" s="54"/>
      <c r="D16" s="31"/>
      <c r="E16" s="4"/>
      <c r="F16" s="31"/>
      <c r="G16" s="32"/>
    </row>
    <row r="17" spans="1:7" s="23" customFormat="1" ht="21">
      <c r="A17" s="90"/>
      <c r="B17" s="26"/>
      <c r="C17" s="76" t="str">
        <f>IF(D17=100%,"Pass",IF(D17&gt;=G14,"Passed but Need Attention","Fail"))</f>
        <v>Fail</v>
      </c>
      <c r="D17" s="49">
        <f>Table2[[#Totals],[Weighted Score]]</f>
        <v>0.64302020000000004</v>
      </c>
      <c r="E17" s="48">
        <f>COUNTIF('Building Assessment'!S:S,"P1")+COUNTIF('Building Assessment'!S:S,"P2")</f>
        <v>183</v>
      </c>
      <c r="F17" s="87">
        <f>E68</f>
        <v>0.61150000000000004</v>
      </c>
      <c r="G17" s="50" t="str">
        <f>IF(COUNTBLANK(Table1[Status
(Please Select from the list)])&gt;0,"Not Complied",
 IF(COUNTIF(Table1[Status
(Please Select from the list)],"&lt;&gt;Yes")&gt;0,"Not Complied","Complied"))</f>
        <v>Not Complied</v>
      </c>
    </row>
    <row r="18" spans="1:7" s="23" customFormat="1" ht="30">
      <c r="A18" s="90"/>
      <c r="B18" s="26"/>
      <c r="C18" s="57" t="s">
        <v>1364</v>
      </c>
      <c r="D18" s="56" t="s">
        <v>1385</v>
      </c>
      <c r="E18" s="56" t="s">
        <v>1387</v>
      </c>
      <c r="F18" s="56" t="s">
        <v>1386</v>
      </c>
      <c r="G18" s="56" t="s">
        <v>1445</v>
      </c>
    </row>
    <row r="19" spans="1:7" s="23" customFormat="1" ht="21">
      <c r="A19" s="90"/>
      <c r="B19" s="26"/>
      <c r="C19" s="60"/>
      <c r="D19" s="55"/>
      <c r="E19" s="55"/>
      <c r="F19" s="60"/>
      <c r="G19" s="60"/>
    </row>
    <row r="20" spans="1:7" s="23" customFormat="1" ht="21">
      <c r="A20" s="90"/>
      <c r="B20" s="26"/>
      <c r="C20" s="84">
        <f>E49</f>
        <v>0.53514000000000028</v>
      </c>
      <c r="D20" s="61">
        <f>G13-D15</f>
        <v>50</v>
      </c>
      <c r="E20" s="50">
        <f>D14-D15</f>
        <v>17</v>
      </c>
      <c r="F20" s="50">
        <f>D20-G20</f>
        <v>17.848990000000001</v>
      </c>
      <c r="G20" s="66">
        <f>D20*D17</f>
        <v>32.151009999999999</v>
      </c>
    </row>
    <row r="21" spans="1:7" s="23" customFormat="1" ht="30">
      <c r="A21" s="90"/>
      <c r="B21" s="26"/>
      <c r="C21" s="56" t="s">
        <v>2701</v>
      </c>
      <c r="D21" s="56" t="s">
        <v>1448</v>
      </c>
      <c r="E21" s="56" t="s">
        <v>1447</v>
      </c>
      <c r="F21" s="56" t="s">
        <v>1362</v>
      </c>
      <c r="G21" s="56" t="s">
        <v>1450</v>
      </c>
    </row>
    <row r="22" spans="1:7" s="23" customFormat="1" ht="15">
      <c r="A22" s="90"/>
      <c r="B22" s="26"/>
      <c r="C22" s="26"/>
      <c r="D22" s="51"/>
      <c r="E22" s="55"/>
      <c r="F22" s="59"/>
      <c r="G22" s="59"/>
    </row>
    <row r="23" spans="1:7" s="23" customFormat="1">
      <c r="A23" s="90"/>
      <c r="B23" s="54"/>
      <c r="C23" s="54"/>
      <c r="D23" s="52"/>
      <c r="E23" s="53"/>
      <c r="F23" s="52"/>
      <c r="G23" s="52"/>
    </row>
    <row r="24" spans="1:7" s="23" customFormat="1" ht="30">
      <c r="A24" s="90"/>
      <c r="B24" s="54"/>
      <c r="C24" s="45" t="s">
        <v>1388</v>
      </c>
      <c r="D24" s="53"/>
      <c r="E24" s="52"/>
      <c r="F24" s="52"/>
      <c r="G24" s="52"/>
    </row>
    <row r="25" spans="1:7" s="23" customFormat="1" ht="13.8" customHeight="1">
      <c r="A25" s="90"/>
      <c r="B25" s="54"/>
      <c r="C25" s="93" t="str">
        <f>IF(
  D17=100%,
  "1- The building achieved full compliance across all assessed systems and is approved for handover and/or operation without conditions.",
  IF(
    D17&gt;=G14,
    "1- The building meets the acceptance criteria; however, some observations require corrective action and follow-up.",
    "1- The building failed to meet the minimum acceptance criteria and is not approved for handover and/or operation until all deficiencies are rectified and verified."
  )
)</f>
        <v>1- The building failed to meet the minimum acceptance criteria and is not approved for handover and/or operation until all deficiencies are rectified and verified.</v>
      </c>
      <c r="D25" s="93"/>
      <c r="E25" s="93"/>
      <c r="F25" s="93"/>
      <c r="G25" s="93"/>
    </row>
    <row r="26" spans="1:7" s="23" customFormat="1" ht="13.8" customHeight="1">
      <c r="A26" s="90"/>
      <c r="B26" s="54"/>
      <c r="C26" s="93"/>
      <c r="D26" s="93"/>
      <c r="E26" s="93"/>
      <c r="F26" s="93"/>
      <c r="G26" s="93"/>
    </row>
    <row r="27" spans="1:7" s="23" customFormat="1" ht="13.8" customHeight="1">
      <c r="A27" s="90"/>
      <c r="B27" s="54"/>
      <c r="C27" s="93" t="str">
        <f>IF(
  G17="Not Complied",
  "2- One or more mandatory government compliance documents were unavailable or incomplete at the time of inspection; accordingly, handover and/or operational approval remains conditional pending submission and acceptance of the required documentation.","2- All mandatory government compliance documents reviewed were available and valid at the time of inspection; however, such review is limited to apparent document validity and does not constitute regulatory or legal approval.")</f>
        <v>2- One or more mandatory government compliance documents were unavailable or incomplete at the time of inspection; accordingly, handover and/or operational approval remains conditional pending submission and acceptance of the required documentation.</v>
      </c>
      <c r="D27" s="93"/>
      <c r="E27" s="93"/>
      <c r="F27" s="93"/>
      <c r="G27" s="93"/>
    </row>
    <row r="28" spans="1:7" s="23" customFormat="1">
      <c r="A28" s="90"/>
      <c r="B28" s="54"/>
      <c r="C28" s="93"/>
      <c r="D28" s="93"/>
      <c r="E28" s="93"/>
      <c r="F28" s="93"/>
      <c r="G28" s="93"/>
    </row>
    <row r="29" spans="1:7" s="23" customFormat="1">
      <c r="A29" s="90"/>
      <c r="B29" s="54"/>
      <c r="C29" s="93"/>
      <c r="D29" s="93"/>
      <c r="E29" s="93"/>
      <c r="F29" s="93"/>
      <c r="G29" s="93"/>
    </row>
    <row r="30" spans="1:7" s="23" customFormat="1" ht="13.8" customHeight="1">
      <c r="A30" s="90"/>
      <c r="B30" s="54"/>
      <c r="C30" s="93" t="str">
        <f>IF(
  E17=0,
  "3- No urgent or critical items were identified during the inspection.","3- The inspection identified priority items that require corrective action and follow-up.")</f>
        <v>3- The inspection identified priority items that require corrective action and follow-up.</v>
      </c>
      <c r="D30" s="93"/>
      <c r="E30" s="93"/>
      <c r="F30" s="93"/>
      <c r="G30" s="93"/>
    </row>
    <row r="31" spans="1:7" s="23" customFormat="1" ht="13.8" customHeight="1">
      <c r="A31" s="90"/>
      <c r="B31" s="54"/>
      <c r="C31" s="93"/>
      <c r="D31" s="93"/>
      <c r="E31" s="93"/>
      <c r="F31" s="93"/>
      <c r="G31" s="93"/>
    </row>
    <row r="32" spans="1:7" ht="18" customHeight="1">
      <c r="A32" s="90"/>
      <c r="B32" s="54"/>
      <c r="C32" s="54"/>
      <c r="E32" s="8"/>
      <c r="F32" s="39"/>
      <c r="G32" s="40"/>
    </row>
    <row r="33" spans="1:7" ht="18" customHeight="1">
      <c r="A33" s="90"/>
      <c r="B33" s="54"/>
      <c r="C33" s="54"/>
      <c r="E33" s="8"/>
      <c r="F33" s="39"/>
      <c r="G33" s="40"/>
    </row>
    <row r="34" spans="1:7" ht="18" customHeight="1">
      <c r="A34" s="90"/>
      <c r="B34" s="54"/>
      <c r="C34" s="54"/>
      <c r="E34" s="8"/>
      <c r="F34" s="39"/>
      <c r="G34" s="40"/>
    </row>
    <row r="35" spans="1:7" ht="18" customHeight="1">
      <c r="A35" s="90"/>
      <c r="B35" s="54"/>
      <c r="C35" s="54"/>
      <c r="E35" s="8"/>
      <c r="F35" s="39"/>
      <c r="G35" s="40"/>
    </row>
    <row r="36" spans="1:7" ht="14.4" customHeight="1">
      <c r="A36" s="90"/>
      <c r="B36" s="54"/>
      <c r="C36" s="54"/>
      <c r="E36" s="8"/>
      <c r="F36" s="4"/>
    </row>
    <row r="37" spans="1:7" ht="14.4" customHeight="1">
      <c r="A37" s="90"/>
      <c r="B37" s="54"/>
      <c r="C37" s="54"/>
      <c r="E37" s="8"/>
      <c r="F37" s="4"/>
    </row>
    <row r="38" spans="1:7" ht="14.4" customHeight="1">
      <c r="A38" s="90"/>
      <c r="B38" s="54"/>
      <c r="C38" s="54"/>
      <c r="E38" s="8"/>
      <c r="F38" s="4"/>
    </row>
    <row r="39" spans="1:7" ht="14.4" customHeight="1">
      <c r="A39" s="90"/>
      <c r="B39" s="54"/>
      <c r="C39" s="54"/>
      <c r="E39" s="8"/>
      <c r="F39" s="4"/>
    </row>
    <row r="40" spans="1:7" ht="14.4" customHeight="1">
      <c r="A40" s="90"/>
      <c r="B40" s="54"/>
      <c r="C40" s="54"/>
      <c r="E40" s="41"/>
      <c r="F40" s="36"/>
    </row>
    <row r="41" spans="1:7" ht="14.4" customHeight="1">
      <c r="A41" s="90"/>
      <c r="B41" s="54"/>
      <c r="C41" s="54"/>
      <c r="E41" s="42"/>
      <c r="F41" s="36"/>
    </row>
    <row r="42" spans="1:7" ht="14.4" customHeight="1">
      <c r="A42" s="90"/>
      <c r="B42" s="54"/>
      <c r="C42" s="54"/>
      <c r="F42" s="36"/>
    </row>
    <row r="43" spans="1:7" ht="14.4" customHeight="1">
      <c r="A43" s="90"/>
      <c r="B43" s="54"/>
      <c r="C43" s="54"/>
      <c r="F43" s="36"/>
    </row>
    <row r="44" spans="1:7" ht="14.4" customHeight="1">
      <c r="A44" s="90"/>
      <c r="B44" s="54"/>
      <c r="C44" s="54"/>
      <c r="F44" s="36"/>
    </row>
    <row r="45" spans="1:7">
      <c r="A45" s="90"/>
      <c r="B45" s="54"/>
      <c r="C45" s="54"/>
      <c r="F45" s="36"/>
    </row>
    <row r="46" spans="1:7">
      <c r="A46" s="90"/>
      <c r="B46" s="54"/>
      <c r="C46" s="54"/>
      <c r="F46" s="36"/>
    </row>
    <row r="47" spans="1:7" ht="30.6" thickBot="1">
      <c r="A47" s="90"/>
      <c r="B47" s="54"/>
      <c r="C47" s="45" t="s">
        <v>1382</v>
      </c>
      <c r="F47" s="36"/>
    </row>
    <row r="48" spans="1:7" ht="22.8" customHeight="1">
      <c r="A48" s="90"/>
      <c r="B48" s="54"/>
      <c r="C48" s="25" t="s">
        <v>139</v>
      </c>
      <c r="D48" s="25" t="s">
        <v>1359</v>
      </c>
      <c r="E48" s="25" t="s">
        <v>1352</v>
      </c>
      <c r="F48" s="25" t="s">
        <v>1336</v>
      </c>
      <c r="G48" s="25" t="s">
        <v>1337</v>
      </c>
    </row>
    <row r="49" spans="1:74" ht="14.4">
      <c r="A49" s="90"/>
      <c r="B49" s="54"/>
      <c r="C49" s="4" t="s">
        <v>1472</v>
      </c>
      <c r="D49" s="8">
        <f>COUNTIF('Building Assessment'!A:A,'Executive Assessment Summary'!C49)</f>
        <v>35</v>
      </c>
      <c r="E49" s="43">
        <f>SUMIF('Building Assessment'!A:A,'Executive Assessment Summary'!C49,'Building Assessment'!O:O)/100</f>
        <v>0.53514000000000028</v>
      </c>
      <c r="F49" s="82">
        <v>17</v>
      </c>
      <c r="G49" s="37">
        <f>Table2[[#This Row],[Weight]]*Table2[[#This Row],[Score %]]/100</f>
        <v>9.0973800000000049E-2</v>
      </c>
      <c r="H49"/>
      <c r="I49"/>
      <c r="J49"/>
      <c r="K49"/>
      <c r="L49"/>
      <c r="M49"/>
      <c r="N49"/>
      <c r="O49"/>
      <c r="P49"/>
      <c r="Q49"/>
      <c r="R49"/>
      <c r="S49"/>
      <c r="T49"/>
      <c r="U49"/>
      <c r="V49"/>
      <c r="W49"/>
      <c r="X49"/>
      <c r="Y49"/>
      <c r="Z49"/>
      <c r="AA49"/>
      <c r="AB49"/>
      <c r="AC49"/>
      <c r="AD49"/>
      <c r="AE49"/>
      <c r="AF49"/>
      <c r="AG49"/>
      <c r="AH49"/>
      <c r="AI49"/>
      <c r="AJ49"/>
      <c r="AK49"/>
      <c r="AL49"/>
      <c r="AM49"/>
      <c r="AN49"/>
      <c r="AO49"/>
      <c r="AP49"/>
      <c r="AQ49"/>
      <c r="AR49"/>
      <c r="AS49"/>
      <c r="AT49"/>
      <c r="AU49"/>
      <c r="AV49"/>
      <c r="AW49"/>
      <c r="AX49"/>
      <c r="AY49"/>
      <c r="AZ49"/>
      <c r="BA49"/>
      <c r="BB49"/>
      <c r="BC49"/>
      <c r="BD49"/>
      <c r="BE49"/>
      <c r="BF49"/>
      <c r="BG49"/>
      <c r="BH49"/>
      <c r="BI49"/>
      <c r="BJ49"/>
      <c r="BK49"/>
      <c r="BL49"/>
      <c r="BM49"/>
      <c r="BN49"/>
      <c r="BO49"/>
      <c r="BP49"/>
      <c r="BQ49"/>
      <c r="BR49"/>
      <c r="BS49"/>
      <c r="BT49"/>
      <c r="BU49"/>
      <c r="BV49"/>
    </row>
    <row r="50" spans="1:74" ht="14.4">
      <c r="A50" s="90"/>
      <c r="B50" s="54"/>
      <c r="C50" s="4" t="s">
        <v>17</v>
      </c>
      <c r="D50" s="8">
        <f>COUNTIF('Building Assessment'!A:A,'Executive Assessment Summary'!C50)</f>
        <v>30</v>
      </c>
      <c r="E50" s="43">
        <f>SUMIF('Building Assessment'!A:A,'Executive Assessment Summary'!C50,'Building Assessment'!O:O)/100</f>
        <v>0.73286000000000018</v>
      </c>
      <c r="F50" s="82">
        <v>10</v>
      </c>
      <c r="G50" s="37">
        <f>Table2[[#This Row],[Weight]]*Table2[[#This Row],[Score %]]/100</f>
        <v>7.3286000000000018E-2</v>
      </c>
      <c r="H50"/>
      <c r="I50"/>
      <c r="J50"/>
      <c r="K50"/>
      <c r="L50"/>
      <c r="M50"/>
      <c r="N50"/>
      <c r="O50"/>
      <c r="P50"/>
      <c r="Q50"/>
      <c r="R50"/>
      <c r="S50"/>
      <c r="T50"/>
      <c r="U50"/>
      <c r="V50"/>
      <c r="W50"/>
      <c r="X50"/>
      <c r="Y50"/>
      <c r="Z50"/>
      <c r="AA50"/>
      <c r="AB50"/>
      <c r="AC50"/>
      <c r="AD50"/>
      <c r="AE50"/>
      <c r="AF50"/>
      <c r="AG50"/>
      <c r="AH50"/>
      <c r="AI50"/>
      <c r="AJ50"/>
      <c r="AK50"/>
      <c r="AL50"/>
      <c r="AM50"/>
      <c r="AN50"/>
      <c r="AO50"/>
      <c r="AP50"/>
      <c r="AQ50"/>
      <c r="AR50"/>
      <c r="AS50"/>
      <c r="AT50"/>
      <c r="AU50"/>
      <c r="AV50"/>
      <c r="AW50"/>
      <c r="AX50"/>
      <c r="AY50"/>
      <c r="AZ50"/>
      <c r="BA50"/>
      <c r="BB50"/>
      <c r="BC50"/>
      <c r="BD50"/>
      <c r="BE50"/>
      <c r="BF50"/>
      <c r="BG50"/>
      <c r="BH50"/>
      <c r="BI50"/>
      <c r="BJ50"/>
      <c r="BK50"/>
      <c r="BL50"/>
      <c r="BM50"/>
      <c r="BN50"/>
      <c r="BO50"/>
      <c r="BP50"/>
      <c r="BQ50"/>
      <c r="BR50"/>
      <c r="BS50"/>
      <c r="BT50"/>
      <c r="BU50"/>
      <c r="BV50"/>
    </row>
    <row r="51" spans="1:74" ht="14.4">
      <c r="A51" s="90"/>
      <c r="B51" s="54"/>
      <c r="C51" s="4" t="s">
        <v>2449</v>
      </c>
      <c r="D51" s="8">
        <f>COUNTIF('Building Assessment'!A:A,'Executive Assessment Summary'!C51)</f>
        <v>5</v>
      </c>
      <c r="E51" s="43">
        <f>SUMIF('Building Assessment'!A:A,'Executive Assessment Summary'!C51,'Building Assessment'!O:O)/100</f>
        <v>0.76</v>
      </c>
      <c r="F51" s="82">
        <v>2</v>
      </c>
      <c r="G51" s="37">
        <f>Table2[[#This Row],[Weight]]*Table2[[#This Row],[Score %]]/100</f>
        <v>1.52E-2</v>
      </c>
      <c r="H51"/>
      <c r="I51"/>
      <c r="J51"/>
      <c r="K51"/>
      <c r="L51"/>
      <c r="M51"/>
      <c r="N51"/>
      <c r="O51"/>
      <c r="P51"/>
      <c r="Q51"/>
      <c r="R51"/>
      <c r="S51"/>
      <c r="T51"/>
      <c r="U51"/>
      <c r="V51"/>
      <c r="W51"/>
      <c r="X51"/>
      <c r="Y51"/>
      <c r="Z51"/>
      <c r="AA51"/>
      <c r="AB51"/>
      <c r="AC51"/>
      <c r="AD51"/>
      <c r="AE51"/>
      <c r="AF51"/>
      <c r="AG51"/>
      <c r="AH51"/>
      <c r="AI51"/>
      <c r="AJ51"/>
      <c r="AK51"/>
      <c r="AL51"/>
      <c r="AM51"/>
      <c r="AN51"/>
      <c r="AO51"/>
      <c r="AP51"/>
      <c r="AQ51"/>
      <c r="AR51"/>
      <c r="AS51"/>
      <c r="AT51"/>
      <c r="AU51"/>
      <c r="AV51"/>
      <c r="AW51"/>
      <c r="AX51"/>
      <c r="AY51"/>
      <c r="AZ51"/>
      <c r="BA51"/>
      <c r="BB51"/>
      <c r="BC51"/>
      <c r="BD51"/>
      <c r="BE51"/>
      <c r="BF51"/>
      <c r="BG51"/>
      <c r="BH51"/>
      <c r="BI51"/>
      <c r="BJ51"/>
      <c r="BK51"/>
      <c r="BL51"/>
      <c r="BM51"/>
      <c r="BN51"/>
      <c r="BO51"/>
      <c r="BP51"/>
      <c r="BQ51"/>
      <c r="BR51"/>
      <c r="BS51"/>
      <c r="BT51"/>
      <c r="BU51"/>
      <c r="BV51"/>
    </row>
    <row r="52" spans="1:74" ht="14.4">
      <c r="A52" s="90"/>
      <c r="B52" s="54"/>
      <c r="C52" s="4" t="s">
        <v>33</v>
      </c>
      <c r="D52" s="8">
        <f>COUNTIF('Building Assessment'!A:A,'Executive Assessment Summary'!C52)</f>
        <v>35</v>
      </c>
      <c r="E52" s="43">
        <f>SUMIF('Building Assessment'!A:A,'Executive Assessment Summary'!C52,'Building Assessment'!O:O)/100</f>
        <v>0.6013799999999998</v>
      </c>
      <c r="F52" s="82">
        <v>9</v>
      </c>
      <c r="G52" s="37">
        <f>Table2[[#This Row],[Weight]]*Table2[[#This Row],[Score %]]/100</f>
        <v>5.4124199999999983E-2</v>
      </c>
      <c r="H52"/>
      <c r="I52"/>
      <c r="J52"/>
      <c r="K52"/>
      <c r="L52"/>
      <c r="M52"/>
      <c r="N52"/>
      <c r="O52"/>
      <c r="P52"/>
      <c r="Q52"/>
      <c r="R52"/>
      <c r="S52"/>
      <c r="T52"/>
      <c r="U52"/>
      <c r="V52"/>
      <c r="W52"/>
      <c r="X52"/>
      <c r="Y52"/>
      <c r="Z52"/>
      <c r="AA52"/>
      <c r="AB52"/>
      <c r="AC52"/>
      <c r="AD52"/>
      <c r="AE52"/>
      <c r="AF52"/>
      <c r="AG52"/>
      <c r="AH52"/>
      <c r="AI52"/>
      <c r="AJ52"/>
      <c r="AK52"/>
      <c r="AL52"/>
      <c r="AM52"/>
      <c r="AN52"/>
      <c r="AO52"/>
      <c r="AP52"/>
      <c r="AQ52"/>
      <c r="AR52"/>
      <c r="AS52"/>
      <c r="AT52"/>
      <c r="AU52"/>
      <c r="AV52"/>
      <c r="AW52"/>
      <c r="AX52"/>
      <c r="AY52"/>
      <c r="AZ52"/>
      <c r="BA52"/>
      <c r="BB52"/>
      <c r="BC52"/>
      <c r="BD52"/>
      <c r="BE52"/>
      <c r="BF52"/>
      <c r="BG52"/>
      <c r="BH52"/>
      <c r="BI52"/>
      <c r="BJ52"/>
      <c r="BK52"/>
      <c r="BL52"/>
      <c r="BM52"/>
      <c r="BN52"/>
      <c r="BO52"/>
      <c r="BP52"/>
      <c r="BQ52"/>
      <c r="BR52"/>
      <c r="BS52"/>
      <c r="BT52"/>
      <c r="BU52"/>
      <c r="BV52"/>
    </row>
    <row r="53" spans="1:74" ht="14.4">
      <c r="A53" s="90"/>
      <c r="B53" s="54"/>
      <c r="C53" s="4" t="s">
        <v>48</v>
      </c>
      <c r="D53" s="8">
        <f>COUNTIF('Building Assessment'!A:A,'Executive Assessment Summary'!C53)</f>
        <v>35</v>
      </c>
      <c r="E53" s="43">
        <f>SUMIF('Building Assessment'!A:A,'Executive Assessment Summary'!C53,'Building Assessment'!O:O)/100</f>
        <v>0.68793999999999977</v>
      </c>
      <c r="F53" s="82">
        <v>8</v>
      </c>
      <c r="G53" s="37">
        <f>Table2[[#This Row],[Weight]]*Table2[[#This Row],[Score %]]/100</f>
        <v>5.5035199999999979E-2</v>
      </c>
      <c r="H53"/>
      <c r="I53"/>
      <c r="J53"/>
      <c r="K53"/>
      <c r="L53"/>
      <c r="M53"/>
      <c r="N53"/>
      <c r="O53"/>
      <c r="P53"/>
      <c r="Q53"/>
      <c r="R53"/>
      <c r="S53"/>
      <c r="T53"/>
      <c r="U53"/>
      <c r="V53"/>
      <c r="W53"/>
      <c r="X53"/>
      <c r="Y53"/>
      <c r="Z53"/>
      <c r="AA53"/>
      <c r="AB53"/>
      <c r="AC53"/>
      <c r="AD53"/>
      <c r="AE53"/>
      <c r="AF53"/>
      <c r="AG53"/>
      <c r="AH53"/>
      <c r="AI53"/>
      <c r="AJ53"/>
      <c r="AK53"/>
      <c r="AL53"/>
      <c r="AM53"/>
      <c r="AN53"/>
      <c r="AO53"/>
      <c r="AP53"/>
      <c r="AQ53"/>
      <c r="AR53"/>
      <c r="AS53"/>
      <c r="AT53"/>
      <c r="AU53"/>
      <c r="AV53"/>
      <c r="AW53"/>
      <c r="AX53"/>
      <c r="AY53"/>
      <c r="AZ53"/>
      <c r="BA53"/>
      <c r="BB53"/>
      <c r="BC53"/>
      <c r="BD53"/>
      <c r="BE53"/>
      <c r="BF53"/>
      <c r="BG53"/>
      <c r="BH53"/>
      <c r="BI53"/>
      <c r="BJ53"/>
      <c r="BK53"/>
      <c r="BL53"/>
      <c r="BM53"/>
      <c r="BN53"/>
      <c r="BO53"/>
      <c r="BP53"/>
      <c r="BQ53"/>
      <c r="BR53"/>
      <c r="BS53"/>
      <c r="BT53"/>
      <c r="BU53"/>
      <c r="BV53"/>
    </row>
    <row r="54" spans="1:74" ht="14.4">
      <c r="A54" s="90"/>
      <c r="B54" s="54"/>
      <c r="C54" s="4" t="s">
        <v>1524</v>
      </c>
      <c r="D54" s="8">
        <f>COUNTIF('Building Assessment'!A:A,'Executive Assessment Summary'!C54)</f>
        <v>35</v>
      </c>
      <c r="E54" s="43">
        <f>SUMIF('Building Assessment'!A:A,'Executive Assessment Summary'!C54,'Building Assessment'!O:O)/100</f>
        <v>0.69208000000000003</v>
      </c>
      <c r="F54" s="82">
        <v>2</v>
      </c>
      <c r="G54" s="37">
        <f>Table2[[#This Row],[Weight]]*Table2[[#This Row],[Score %]]/100</f>
        <v>1.3841600000000001E-2</v>
      </c>
      <c r="H54"/>
      <c r="I54"/>
      <c r="J54"/>
      <c r="K54"/>
      <c r="L54"/>
      <c r="M54"/>
      <c r="N54"/>
      <c r="O54"/>
      <c r="P54"/>
      <c r="Q54"/>
      <c r="R54"/>
      <c r="S54"/>
      <c r="T54"/>
      <c r="U54"/>
      <c r="V54"/>
      <c r="W54"/>
      <c r="X54"/>
      <c r="Y54"/>
      <c r="Z54"/>
      <c r="AA54"/>
      <c r="AB54"/>
      <c r="AC54"/>
      <c r="AD54"/>
      <c r="AE54"/>
      <c r="AF54"/>
      <c r="AG54"/>
      <c r="AH54"/>
      <c r="AI54"/>
      <c r="AJ54"/>
      <c r="AK54"/>
      <c r="AL54"/>
      <c r="AM54"/>
      <c r="AN54"/>
      <c r="AO54"/>
      <c r="AP54"/>
      <c r="AQ54"/>
      <c r="AR54"/>
      <c r="AS54"/>
      <c r="AT54"/>
      <c r="AU54"/>
      <c r="AV54"/>
      <c r="AW54"/>
      <c r="AX54"/>
      <c r="AY54"/>
      <c r="AZ54"/>
      <c r="BA54"/>
      <c r="BB54"/>
      <c r="BC54"/>
      <c r="BD54"/>
      <c r="BE54"/>
      <c r="BF54"/>
      <c r="BG54"/>
      <c r="BH54"/>
      <c r="BI54"/>
      <c r="BJ54"/>
      <c r="BK54"/>
      <c r="BL54"/>
      <c r="BM54"/>
      <c r="BN54"/>
      <c r="BO54"/>
      <c r="BP54"/>
      <c r="BQ54"/>
      <c r="BR54"/>
      <c r="BS54"/>
      <c r="BT54"/>
      <c r="BU54"/>
      <c r="BV54"/>
    </row>
    <row r="55" spans="1:74" ht="14.4">
      <c r="A55" s="90"/>
      <c r="B55" s="54"/>
      <c r="C55" s="4" t="s">
        <v>1490</v>
      </c>
      <c r="D55" s="8">
        <f>COUNTIF('Building Assessment'!A:A,'Executive Assessment Summary'!C55)</f>
        <v>35</v>
      </c>
      <c r="E55" s="43">
        <f>SUMIF('Building Assessment'!A:A,'Executive Assessment Summary'!C55,'Building Assessment'!O:O)/100</f>
        <v>0.78660000000000008</v>
      </c>
      <c r="F55" s="82">
        <v>5</v>
      </c>
      <c r="G55" s="37">
        <f>Table2[[#This Row],[Weight]]*Table2[[#This Row],[Score %]]/100</f>
        <v>3.9330000000000004E-2</v>
      </c>
      <c r="H55"/>
      <c r="I55"/>
      <c r="J55"/>
      <c r="K55"/>
      <c r="L55"/>
      <c r="M55"/>
      <c r="N55"/>
      <c r="O55"/>
      <c r="P55"/>
      <c r="Q55"/>
      <c r="R55"/>
      <c r="S55"/>
      <c r="T55"/>
      <c r="U55"/>
      <c r="V55"/>
      <c r="W55"/>
      <c r="X55"/>
      <c r="Y55"/>
      <c r="Z55"/>
      <c r="AA55"/>
      <c r="AB55"/>
      <c r="AC55"/>
      <c r="AD55"/>
      <c r="AE55"/>
      <c r="AF55"/>
      <c r="AG55"/>
      <c r="AH55"/>
      <c r="AI55"/>
      <c r="AJ55"/>
      <c r="AK55"/>
      <c r="AL55"/>
      <c r="AM55"/>
      <c r="AN55"/>
      <c r="AO55"/>
      <c r="AP55"/>
      <c r="AQ55"/>
      <c r="AR55"/>
      <c r="AS55"/>
      <c r="AT55"/>
      <c r="AU55"/>
      <c r="AV55"/>
      <c r="AW55"/>
      <c r="AX55"/>
      <c r="AY55"/>
      <c r="AZ55"/>
      <c r="BA55"/>
      <c r="BB55"/>
      <c r="BC55"/>
      <c r="BD55"/>
      <c r="BE55"/>
      <c r="BF55"/>
      <c r="BG55"/>
      <c r="BH55"/>
      <c r="BI55"/>
      <c r="BJ55"/>
      <c r="BK55"/>
      <c r="BL55"/>
      <c r="BM55"/>
      <c r="BN55"/>
      <c r="BO55"/>
      <c r="BP55"/>
      <c r="BQ55"/>
      <c r="BR55"/>
      <c r="BS55"/>
      <c r="BT55"/>
      <c r="BU55"/>
      <c r="BV55"/>
    </row>
    <row r="56" spans="1:74" ht="14.4">
      <c r="A56" s="90"/>
      <c r="B56" s="54"/>
      <c r="C56" s="4" t="s">
        <v>1501</v>
      </c>
      <c r="D56" s="8">
        <f>COUNTIF('Building Assessment'!A:A,'Executive Assessment Summary'!C56)</f>
        <v>35</v>
      </c>
      <c r="E56" s="43">
        <f>SUMIF('Building Assessment'!A:A,'Executive Assessment Summary'!C56,'Building Assessment'!O:O)/100</f>
        <v>0.62509999999999988</v>
      </c>
      <c r="F56" s="82">
        <v>6</v>
      </c>
      <c r="G56" s="37">
        <f>Table2[[#This Row],[Weight]]*Table2[[#This Row],[Score %]]/100</f>
        <v>3.7505999999999998E-2</v>
      </c>
      <c r="H56"/>
      <c r="I56"/>
      <c r="J56"/>
      <c r="K56"/>
      <c r="L56"/>
      <c r="M56"/>
      <c r="N56"/>
      <c r="O56"/>
      <c r="P56"/>
      <c r="Q56"/>
      <c r="R56"/>
      <c r="S56"/>
      <c r="T56"/>
      <c r="U56"/>
      <c r="V56"/>
      <c r="W56"/>
      <c r="X56"/>
      <c r="Y56"/>
      <c r="Z56"/>
      <c r="AA56"/>
      <c r="AB56"/>
      <c r="AC56"/>
      <c r="AD56"/>
      <c r="AE56"/>
      <c r="AF56"/>
      <c r="AG56"/>
      <c r="AH56"/>
      <c r="AI56"/>
      <c r="AJ56"/>
      <c r="AK56"/>
      <c r="AL56"/>
      <c r="AM56"/>
      <c r="AN56"/>
      <c r="AO56"/>
      <c r="AP56"/>
      <c r="AQ56"/>
      <c r="AR56"/>
      <c r="AS56"/>
      <c r="AT56"/>
      <c r="AU56"/>
      <c r="AV56"/>
      <c r="AW56"/>
      <c r="AX56"/>
      <c r="AY56"/>
      <c r="AZ56"/>
      <c r="BA56"/>
      <c r="BB56"/>
      <c r="BC56"/>
      <c r="BD56"/>
      <c r="BE56"/>
      <c r="BF56"/>
      <c r="BG56"/>
      <c r="BH56"/>
      <c r="BI56"/>
      <c r="BJ56"/>
      <c r="BK56"/>
      <c r="BL56"/>
      <c r="BM56"/>
      <c r="BN56"/>
      <c r="BO56"/>
      <c r="BP56"/>
      <c r="BQ56"/>
      <c r="BR56"/>
      <c r="BS56"/>
      <c r="BT56"/>
      <c r="BU56"/>
      <c r="BV56"/>
    </row>
    <row r="57" spans="1:74" ht="14.4">
      <c r="A57" s="90"/>
      <c r="B57" s="54"/>
      <c r="C57" s="4" t="s">
        <v>1517</v>
      </c>
      <c r="D57" s="8">
        <f>COUNTIF('Building Assessment'!A:A,'Executive Assessment Summary'!C57)</f>
        <v>28</v>
      </c>
      <c r="E57" s="43">
        <f>SUMIF('Building Assessment'!A:A,'Executive Assessment Summary'!C57,'Building Assessment'!O:O)/100</f>
        <v>0.63048000000000026</v>
      </c>
      <c r="F57" s="82">
        <v>3</v>
      </c>
      <c r="G57" s="37">
        <f>Table2[[#This Row],[Weight]]*Table2[[#This Row],[Score %]]/100</f>
        <v>1.8914400000000008E-2</v>
      </c>
      <c r="H57"/>
      <c r="I57"/>
      <c r="J57"/>
      <c r="K57"/>
      <c r="L57"/>
      <c r="M57"/>
      <c r="N57"/>
      <c r="O57"/>
      <c r="P57"/>
      <c r="Q57"/>
      <c r="R57"/>
      <c r="S57"/>
      <c r="T57"/>
      <c r="U57"/>
      <c r="V57"/>
      <c r="W57"/>
      <c r="X57"/>
      <c r="Y57"/>
      <c r="Z57"/>
      <c r="AA57"/>
      <c r="AB57"/>
      <c r="AC57"/>
      <c r="AD57"/>
      <c r="AE57"/>
      <c r="AF57"/>
      <c r="AG57"/>
      <c r="AH57"/>
      <c r="AI57"/>
      <c r="AJ57"/>
      <c r="AK57"/>
      <c r="AL57"/>
      <c r="AM57"/>
      <c r="AN57"/>
      <c r="AO57"/>
      <c r="AP57"/>
      <c r="AQ57"/>
      <c r="AR57"/>
      <c r="AS57"/>
      <c r="AT57"/>
      <c r="AU57"/>
      <c r="AV57"/>
      <c r="AW57"/>
      <c r="AX57"/>
      <c r="AY57"/>
      <c r="AZ57"/>
      <c r="BA57"/>
      <c r="BB57"/>
      <c r="BC57"/>
      <c r="BD57"/>
      <c r="BE57"/>
      <c r="BF57"/>
      <c r="BG57"/>
      <c r="BH57"/>
      <c r="BI57"/>
      <c r="BJ57"/>
      <c r="BK57"/>
      <c r="BL57"/>
      <c r="BM57"/>
      <c r="BN57"/>
      <c r="BO57"/>
      <c r="BP57"/>
      <c r="BQ57"/>
      <c r="BR57"/>
      <c r="BS57"/>
      <c r="BT57"/>
      <c r="BU57"/>
      <c r="BV57"/>
    </row>
    <row r="58" spans="1:74" ht="14.4">
      <c r="A58" s="90"/>
      <c r="B58" s="54"/>
      <c r="C58" s="4" t="s">
        <v>103</v>
      </c>
      <c r="D58" s="8">
        <f>COUNTIF('Building Assessment'!A:A,'Executive Assessment Summary'!C58)</f>
        <v>35</v>
      </c>
      <c r="E58" s="43">
        <f>SUMIF('Building Assessment'!A:A,'Executive Assessment Summary'!C58,'Building Assessment'!O:O)/100</f>
        <v>0.67201999999999984</v>
      </c>
      <c r="F58" s="82">
        <v>3</v>
      </c>
      <c r="G58" s="37">
        <f>Table2[[#This Row],[Weight]]*Table2[[#This Row],[Score %]]/100</f>
        <v>2.0160599999999994E-2</v>
      </c>
      <c r="H58"/>
      <c r="I58"/>
      <c r="J58"/>
      <c r="K58"/>
      <c r="L58"/>
      <c r="M58"/>
      <c r="N58"/>
      <c r="O58"/>
      <c r="P58"/>
      <c r="Q58"/>
      <c r="R58"/>
      <c r="S58"/>
      <c r="T58"/>
      <c r="U58"/>
      <c r="V58"/>
      <c r="W58"/>
      <c r="X58"/>
      <c r="Y58"/>
      <c r="Z58"/>
      <c r="AA58"/>
      <c r="AB58"/>
      <c r="AC58"/>
      <c r="AD58"/>
      <c r="AE58"/>
      <c r="AF58"/>
      <c r="AG58"/>
      <c r="AH58"/>
      <c r="AI58"/>
      <c r="AJ58"/>
      <c r="AK58"/>
      <c r="AL58"/>
      <c r="AM58"/>
      <c r="AN58"/>
      <c r="AO58"/>
      <c r="AP58"/>
      <c r="AQ58"/>
      <c r="AR58"/>
      <c r="AS58"/>
      <c r="AT58"/>
      <c r="AU58"/>
      <c r="AV58"/>
      <c r="AW58"/>
      <c r="AX58"/>
      <c r="AY58"/>
      <c r="AZ58"/>
      <c r="BA58"/>
      <c r="BB58"/>
      <c r="BC58"/>
      <c r="BD58"/>
      <c r="BE58"/>
      <c r="BF58"/>
      <c r="BG58"/>
      <c r="BH58"/>
      <c r="BI58"/>
      <c r="BJ58"/>
      <c r="BK58"/>
      <c r="BL58"/>
      <c r="BM58"/>
      <c r="BN58"/>
      <c r="BO58"/>
      <c r="BP58"/>
      <c r="BQ58"/>
      <c r="BR58"/>
      <c r="BS58"/>
      <c r="BT58"/>
      <c r="BU58"/>
      <c r="BV58"/>
    </row>
    <row r="59" spans="1:74" ht="14.4">
      <c r="A59" s="90"/>
      <c r="B59" s="54"/>
      <c r="C59" s="4" t="s">
        <v>109</v>
      </c>
      <c r="D59" s="8">
        <f>COUNTIF('Building Assessment'!A:A,'Executive Assessment Summary'!C59)</f>
        <v>35</v>
      </c>
      <c r="E59" s="43">
        <f>SUMIF('Building Assessment'!A:A,'Executive Assessment Summary'!C59,'Building Assessment'!O:O)/100</f>
        <v>0.63684000000000018</v>
      </c>
      <c r="F59" s="82">
        <v>2</v>
      </c>
      <c r="G59" s="37">
        <f>Table2[[#This Row],[Weight]]*Table2[[#This Row],[Score %]]/100</f>
        <v>1.2736800000000003E-2</v>
      </c>
      <c r="H59"/>
      <c r="I59"/>
      <c r="J59"/>
      <c r="K59"/>
      <c r="L59"/>
      <c r="M59"/>
      <c r="N59"/>
      <c r="O59"/>
      <c r="P59"/>
      <c r="Q59"/>
      <c r="R59"/>
      <c r="S59"/>
      <c r="T59"/>
      <c r="U59"/>
      <c r="V59"/>
      <c r="W59"/>
      <c r="X59"/>
      <c r="Y59"/>
      <c r="Z59"/>
      <c r="AA59"/>
      <c r="AB59"/>
      <c r="AC59"/>
      <c r="AD59"/>
      <c r="AE59"/>
      <c r="AF59"/>
      <c r="AG59"/>
      <c r="AH59"/>
      <c r="AI59"/>
      <c r="AJ59"/>
      <c r="AK59"/>
      <c r="AL59"/>
      <c r="AM59"/>
      <c r="AN59"/>
      <c r="AO59"/>
      <c r="AP59"/>
      <c r="AQ59"/>
      <c r="AR59"/>
      <c r="AS59"/>
      <c r="AT59"/>
      <c r="AU59"/>
      <c r="AV59"/>
      <c r="AW59"/>
      <c r="AX59"/>
      <c r="AY59"/>
      <c r="AZ59"/>
      <c r="BA59"/>
      <c r="BB59"/>
      <c r="BC59"/>
      <c r="BD59"/>
      <c r="BE59"/>
      <c r="BF59"/>
      <c r="BG59"/>
      <c r="BH59"/>
      <c r="BI59"/>
      <c r="BJ59"/>
      <c r="BK59"/>
      <c r="BL59"/>
      <c r="BM59"/>
      <c r="BN59"/>
      <c r="BO59"/>
      <c r="BP59"/>
      <c r="BQ59"/>
      <c r="BR59"/>
      <c r="BS59"/>
      <c r="BT59"/>
      <c r="BU59"/>
      <c r="BV59"/>
    </row>
    <row r="60" spans="1:74" ht="14.4">
      <c r="A60" s="90"/>
      <c r="B60" s="54"/>
      <c r="C60" s="4" t="s">
        <v>61</v>
      </c>
      <c r="D60" s="8">
        <f>COUNTIF('Building Assessment'!A:A,'Executive Assessment Summary'!C60)</f>
        <v>35</v>
      </c>
      <c r="E60" s="43">
        <f>SUMIF('Building Assessment'!A:A,'Executive Assessment Summary'!C60,'Building Assessment'!O:O)/100</f>
        <v>0.68903999999999999</v>
      </c>
      <c r="F60" s="82">
        <v>4</v>
      </c>
      <c r="G60" s="37">
        <f>Table2[[#This Row],[Weight]]*Table2[[#This Row],[Score %]]/100</f>
        <v>2.7561599999999999E-2</v>
      </c>
      <c r="H60"/>
      <c r="I60"/>
      <c r="J60"/>
      <c r="K60"/>
      <c r="L60"/>
      <c r="M60"/>
      <c r="N60"/>
      <c r="O60"/>
      <c r="P60"/>
      <c r="Q60"/>
      <c r="R60"/>
      <c r="S60"/>
      <c r="T60"/>
      <c r="U60"/>
      <c r="V60"/>
      <c r="W60"/>
      <c r="X60"/>
      <c r="Y60"/>
      <c r="Z60"/>
      <c r="AA60"/>
      <c r="AB60"/>
      <c r="AC60"/>
      <c r="AD60"/>
      <c r="AE60"/>
      <c r="AF60"/>
      <c r="AG60"/>
      <c r="AH60"/>
      <c r="AI60"/>
      <c r="AJ60"/>
      <c r="AK60"/>
      <c r="AL60"/>
      <c r="AM60"/>
      <c r="AN60"/>
      <c r="AO60"/>
      <c r="AP60"/>
      <c r="AQ60"/>
      <c r="AR60"/>
      <c r="AS60"/>
      <c r="AT60"/>
      <c r="AU60"/>
      <c r="AV60"/>
      <c r="AW60"/>
      <c r="AX60"/>
      <c r="AY60"/>
      <c r="AZ60"/>
      <c r="BA60"/>
      <c r="BB60"/>
      <c r="BC60"/>
      <c r="BD60"/>
      <c r="BE60"/>
      <c r="BF60"/>
      <c r="BG60"/>
      <c r="BH60"/>
      <c r="BI60"/>
      <c r="BJ60"/>
      <c r="BK60"/>
      <c r="BL60"/>
      <c r="BM60"/>
      <c r="BN60"/>
      <c r="BO60"/>
      <c r="BP60"/>
      <c r="BQ60"/>
      <c r="BR60"/>
      <c r="BS60"/>
      <c r="BT60"/>
      <c r="BU60"/>
      <c r="BV60"/>
    </row>
    <row r="61" spans="1:74" ht="14.4">
      <c r="A61" s="90"/>
      <c r="B61" s="54"/>
      <c r="C61" s="4" t="s">
        <v>73</v>
      </c>
      <c r="D61" s="8">
        <f>COUNTIF('Building Assessment'!A:A,'Executive Assessment Summary'!C61)</f>
        <v>35</v>
      </c>
      <c r="E61" s="43">
        <f>SUMIF('Building Assessment'!A:A,'Executive Assessment Summary'!C61,'Building Assessment'!O:O)/100</f>
        <v>0.64063999999999965</v>
      </c>
      <c r="F61" s="82">
        <v>2</v>
      </c>
      <c r="G61" s="37">
        <f>Table2[[#This Row],[Weight]]*Table2[[#This Row],[Score %]]/100</f>
        <v>1.2812799999999992E-2</v>
      </c>
      <c r="H61"/>
      <c r="I61"/>
      <c r="J61"/>
      <c r="K61"/>
      <c r="L61"/>
      <c r="M61"/>
      <c r="N61"/>
      <c r="O61"/>
      <c r="P61"/>
      <c r="Q61"/>
      <c r="R61"/>
      <c r="S61"/>
      <c r="T61"/>
      <c r="U61"/>
      <c r="V61"/>
      <c r="W61"/>
      <c r="X61"/>
      <c r="Y61"/>
      <c r="Z61"/>
      <c r="AA61"/>
      <c r="AB61"/>
      <c r="AC61"/>
      <c r="AD61"/>
      <c r="AE61"/>
      <c r="AF61"/>
      <c r="AG61"/>
      <c r="AH61"/>
      <c r="AI61"/>
      <c r="AJ61"/>
      <c r="AK61"/>
      <c r="AL61"/>
      <c r="AM61"/>
      <c r="AN61"/>
      <c r="AO61"/>
      <c r="AP61"/>
      <c r="AQ61"/>
      <c r="AR61"/>
      <c r="AS61"/>
      <c r="AT61"/>
      <c r="AU61"/>
      <c r="AV61"/>
      <c r="AW61"/>
      <c r="AX61"/>
      <c r="AY61"/>
      <c r="AZ61"/>
      <c r="BA61"/>
      <c r="BB61"/>
      <c r="BC61"/>
      <c r="BD61"/>
      <c r="BE61"/>
      <c r="BF61"/>
      <c r="BG61"/>
      <c r="BH61"/>
      <c r="BI61"/>
      <c r="BJ61"/>
      <c r="BK61"/>
      <c r="BL61"/>
      <c r="BM61"/>
      <c r="BN61"/>
      <c r="BO61"/>
      <c r="BP61"/>
      <c r="BQ61"/>
      <c r="BR61"/>
      <c r="BS61"/>
      <c r="BT61"/>
      <c r="BU61"/>
      <c r="BV61"/>
    </row>
    <row r="62" spans="1:74" ht="14.4">
      <c r="A62" s="90"/>
      <c r="B62" s="54"/>
      <c r="C62" s="4" t="s">
        <v>83</v>
      </c>
      <c r="D62" s="8">
        <f>COUNTIF('Building Assessment'!A:A,'Executive Assessment Summary'!C62)</f>
        <v>35</v>
      </c>
      <c r="E62" s="43">
        <f>SUMIF('Building Assessment'!A:A,'Executive Assessment Summary'!C62,'Building Assessment'!O:O)/100</f>
        <v>0.65779999999999983</v>
      </c>
      <c r="F62" s="82">
        <v>1</v>
      </c>
      <c r="G62" s="37">
        <f>Table2[[#This Row],[Weight]]*Table2[[#This Row],[Score %]]/100</f>
        <v>6.5779999999999979E-3</v>
      </c>
      <c r="H62"/>
      <c r="I62"/>
      <c r="J62"/>
      <c r="K62"/>
      <c r="L62"/>
      <c r="M62"/>
      <c r="N62"/>
      <c r="O62"/>
      <c r="P62"/>
      <c r="Q62"/>
      <c r="R62"/>
      <c r="S62"/>
      <c r="T62"/>
      <c r="U62"/>
      <c r="V62"/>
      <c r="W62"/>
      <c r="X62"/>
      <c r="Y62"/>
      <c r="Z62"/>
      <c r="AA62"/>
      <c r="AB62"/>
      <c r="AC62"/>
      <c r="AD62"/>
      <c r="AE62"/>
      <c r="AF62"/>
      <c r="AG62"/>
      <c r="AH62"/>
      <c r="AI62"/>
      <c r="AJ62"/>
      <c r="AK62"/>
      <c r="AL62"/>
      <c r="AM62"/>
      <c r="AN62"/>
      <c r="AO62"/>
      <c r="AP62"/>
      <c r="AQ62"/>
      <c r="AR62"/>
      <c r="AS62"/>
      <c r="AT62"/>
      <c r="AU62"/>
      <c r="AV62"/>
      <c r="AW62"/>
      <c r="AX62"/>
      <c r="AY62"/>
      <c r="AZ62"/>
      <c r="BA62"/>
      <c r="BB62"/>
      <c r="BC62"/>
      <c r="BD62"/>
      <c r="BE62"/>
      <c r="BF62"/>
      <c r="BG62"/>
      <c r="BH62"/>
      <c r="BI62"/>
      <c r="BJ62"/>
      <c r="BK62"/>
      <c r="BL62"/>
      <c r="BM62"/>
      <c r="BN62"/>
      <c r="BO62"/>
      <c r="BP62"/>
      <c r="BQ62"/>
      <c r="BR62"/>
      <c r="BS62"/>
      <c r="BT62"/>
      <c r="BU62"/>
      <c r="BV62"/>
    </row>
    <row r="63" spans="1:74" ht="14.4">
      <c r="A63" s="90"/>
      <c r="B63" s="54"/>
      <c r="C63" s="4" t="s">
        <v>92</v>
      </c>
      <c r="D63" s="8">
        <f>COUNTIF('Building Assessment'!A:A,'Executive Assessment Summary'!C63)</f>
        <v>35</v>
      </c>
      <c r="E63" s="43">
        <f>SUMIF('Building Assessment'!A:A,'Executive Assessment Summary'!C63,'Building Assessment'!O:O)/100</f>
        <v>0.64063999999999988</v>
      </c>
      <c r="F63" s="82">
        <v>1</v>
      </c>
      <c r="G63" s="37">
        <f>Table2[[#This Row],[Weight]]*Table2[[#This Row],[Score %]]/100</f>
        <v>6.4063999999999987E-3</v>
      </c>
      <c r="H63"/>
      <c r="I63"/>
      <c r="J63"/>
      <c r="K63"/>
      <c r="L63"/>
      <c r="M63"/>
      <c r="N63"/>
      <c r="O63"/>
      <c r="P63"/>
      <c r="Q63"/>
      <c r="R63"/>
      <c r="S63"/>
      <c r="T63"/>
      <c r="U63"/>
      <c r="V63"/>
      <c r="W63"/>
      <c r="X63"/>
      <c r="Y63"/>
      <c r="Z63"/>
      <c r="AA63"/>
      <c r="AB63"/>
      <c r="AC63"/>
      <c r="AD63"/>
      <c r="AE63"/>
      <c r="AF63"/>
      <c r="AG63"/>
      <c r="AH63"/>
      <c r="AI63"/>
      <c r="AJ63"/>
      <c r="AK63"/>
      <c r="AL63"/>
      <c r="AM63"/>
      <c r="AN63"/>
      <c r="AO63"/>
      <c r="AP63"/>
      <c r="AQ63"/>
      <c r="AR63"/>
      <c r="AS63"/>
      <c r="AT63"/>
      <c r="AU63"/>
      <c r="AV63"/>
      <c r="AW63"/>
      <c r="AX63"/>
      <c r="AY63"/>
      <c r="AZ63"/>
      <c r="BA63"/>
      <c r="BB63"/>
      <c r="BC63"/>
      <c r="BD63"/>
      <c r="BE63"/>
      <c r="BF63"/>
      <c r="BG63"/>
      <c r="BH63"/>
      <c r="BI63"/>
      <c r="BJ63"/>
      <c r="BK63"/>
      <c r="BL63"/>
      <c r="BM63"/>
      <c r="BN63"/>
      <c r="BO63"/>
      <c r="BP63"/>
      <c r="BQ63"/>
      <c r="BR63"/>
      <c r="BS63"/>
      <c r="BT63"/>
      <c r="BU63"/>
      <c r="BV63"/>
    </row>
    <row r="64" spans="1:74" ht="14.4">
      <c r="A64" s="90"/>
      <c r="B64" s="54"/>
      <c r="C64" s="4" t="s">
        <v>97</v>
      </c>
      <c r="D64" s="8">
        <f>COUNTIF('Building Assessment'!A:A,'Executive Assessment Summary'!C64)</f>
        <v>35</v>
      </c>
      <c r="E64" s="43">
        <f>SUMIF('Building Assessment'!A:A,'Executive Assessment Summary'!C64,'Building Assessment'!O:O)/100</f>
        <v>0.61203999999999992</v>
      </c>
      <c r="F64" s="82">
        <v>1</v>
      </c>
      <c r="G64" s="37">
        <f>Table2[[#This Row],[Weight]]*Table2[[#This Row],[Score %]]/100</f>
        <v>6.1203999999999989E-3</v>
      </c>
      <c r="H64"/>
      <c r="I64"/>
      <c r="J64"/>
      <c r="K64"/>
      <c r="L64"/>
      <c r="M64"/>
      <c r="N64"/>
      <c r="O64"/>
      <c r="P64"/>
      <c r="Q64"/>
      <c r="R64"/>
      <c r="S64"/>
      <c r="T64"/>
      <c r="U64"/>
      <c r="V64"/>
    </row>
    <row r="65" spans="1:22" ht="14.4">
      <c r="A65" s="90"/>
      <c r="B65" s="54"/>
      <c r="C65" s="4" t="s">
        <v>1520</v>
      </c>
      <c r="D65" s="8">
        <f>COUNTIF('Building Assessment'!A:A,'Executive Assessment Summary'!C65)</f>
        <v>35</v>
      </c>
      <c r="E65" s="43">
        <f>SUMIF('Building Assessment'!A:A,'Executive Assessment Summary'!C65,'Building Assessment'!O:O)/100</f>
        <v>0.65207999999999988</v>
      </c>
      <c r="F65" s="82">
        <v>2</v>
      </c>
      <c r="G65" s="37">
        <f>Table2[[#This Row],[Weight]]*Table2[[#This Row],[Score %]]/100</f>
        <v>1.3041599999999997E-2</v>
      </c>
      <c r="H65"/>
      <c r="I65"/>
      <c r="J65"/>
      <c r="K65"/>
      <c r="L65"/>
      <c r="M65"/>
      <c r="N65"/>
      <c r="O65"/>
      <c r="P65"/>
      <c r="Q65"/>
      <c r="R65"/>
      <c r="S65"/>
      <c r="T65"/>
      <c r="U65"/>
      <c r="V65"/>
    </row>
    <row r="66" spans="1:22" ht="14.4">
      <c r="A66" s="90"/>
      <c r="B66" s="54"/>
      <c r="C66" s="4" t="s">
        <v>116</v>
      </c>
      <c r="D66" s="8">
        <f>COUNTIF('Building Assessment'!A:A,'Executive Assessment Summary'!C66)</f>
        <v>35</v>
      </c>
      <c r="E66" s="43">
        <f>SUMIF('Building Assessment'!A:A,'Executive Assessment Summary'!C66,'Building Assessment'!O:O)/100</f>
        <v>0.60631999999999986</v>
      </c>
      <c r="F66" s="82">
        <v>1</v>
      </c>
      <c r="G66" s="37">
        <f>Table2[[#This Row],[Weight]]*Table2[[#This Row],[Score %]]/100</f>
        <v>6.0631999999999986E-3</v>
      </c>
      <c r="H66"/>
      <c r="I66"/>
      <c r="J66"/>
      <c r="K66"/>
      <c r="L66"/>
      <c r="M66"/>
      <c r="N66"/>
      <c r="O66"/>
      <c r="P66"/>
      <c r="Q66"/>
      <c r="R66"/>
      <c r="S66"/>
      <c r="T66"/>
      <c r="U66"/>
      <c r="V66"/>
    </row>
    <row r="67" spans="1:22" ht="14.4">
      <c r="A67" s="90"/>
      <c r="B67" s="54"/>
      <c r="C67" s="4" t="s">
        <v>120</v>
      </c>
      <c r="D67" s="8">
        <f>COUNTIF('Building Assessment'!A:A,'Executive Assessment Summary'!C67)</f>
        <v>35</v>
      </c>
      <c r="E67" s="43">
        <f>SUMIF('Building Assessment'!A:A,'Executive Assessment Summary'!C67,'Building Assessment'!O:O)/100</f>
        <v>0.61248000000000014</v>
      </c>
      <c r="F67" s="82">
        <v>12</v>
      </c>
      <c r="G67" s="37">
        <f>Table2[[#This Row],[Weight]]*Table2[[#This Row],[Score %]]/100</f>
        <v>7.349760000000001E-2</v>
      </c>
      <c r="H67"/>
      <c r="I67"/>
      <c r="J67"/>
      <c r="K67"/>
      <c r="L67"/>
      <c r="M67"/>
      <c r="N67"/>
      <c r="O67"/>
      <c r="P67"/>
      <c r="Q67"/>
      <c r="R67"/>
      <c r="S67"/>
      <c r="T67"/>
      <c r="U67"/>
      <c r="V67"/>
    </row>
    <row r="68" spans="1:22" ht="14.4">
      <c r="A68" s="90"/>
      <c r="B68" s="54"/>
      <c r="C68" s="4" t="s">
        <v>123</v>
      </c>
      <c r="D68" s="8">
        <f>COUNTIF('Building Assessment'!A:A,'Executive Assessment Summary'!C68)</f>
        <v>35</v>
      </c>
      <c r="E68" s="43">
        <f>SUMIF('Building Assessment'!A:A,'Executive Assessment Summary'!C68,'Building Assessment'!O:O)/100</f>
        <v>0.61150000000000004</v>
      </c>
      <c r="F68" s="82">
        <v>2</v>
      </c>
      <c r="G68" s="37">
        <f>Table2[[#This Row],[Weight]]*Table2[[#This Row],[Score %]]/100</f>
        <v>1.2230000000000001E-2</v>
      </c>
      <c r="H68"/>
      <c r="I68"/>
      <c r="J68"/>
      <c r="K68"/>
      <c r="L68"/>
      <c r="M68"/>
      <c r="N68"/>
    </row>
    <row r="69" spans="1:22" ht="14.4">
      <c r="A69" s="90"/>
      <c r="B69" s="54"/>
      <c r="C69" s="4" t="s">
        <v>1533</v>
      </c>
      <c r="D69" s="8">
        <f>COUNTIF('Building Assessment'!A:A,'Executive Assessment Summary'!C69)</f>
        <v>36</v>
      </c>
      <c r="E69" s="43">
        <f>SUMIF('Building Assessment'!A:A,'Executive Assessment Summary'!C69,'Building Assessment'!O:O)/100</f>
        <v>0.68000000000000016</v>
      </c>
      <c r="F69" s="82">
        <v>7</v>
      </c>
      <c r="G69" s="37">
        <f>Table2[[#This Row],[Weight]]*Table2[[#This Row],[Score %]]/100</f>
        <v>4.7600000000000017E-2</v>
      </c>
      <c r="H69"/>
      <c r="I69"/>
      <c r="J69"/>
      <c r="K69"/>
      <c r="L69"/>
      <c r="M69"/>
      <c r="N69"/>
    </row>
    <row r="70" spans="1:22" ht="14.4" customHeight="1">
      <c r="A70" s="90"/>
      <c r="B70" s="54"/>
      <c r="C70" s="37" t="s">
        <v>1384</v>
      </c>
      <c r="D70" s="38">
        <f>SUBTOTAL(109,Table2[Item Count])</f>
        <v>694</v>
      </c>
      <c r="E70" s="37" t="s">
        <v>1471</v>
      </c>
      <c r="F70" s="83">
        <f>SUM(F49:F69)</f>
        <v>100</v>
      </c>
      <c r="G70" s="37">
        <f>SUBTOTAL(109,Table2[Weighted Score])</f>
        <v>0.64302020000000004</v>
      </c>
      <c r="H70"/>
      <c r="I70"/>
      <c r="J70"/>
      <c r="K70"/>
      <c r="L70"/>
      <c r="M70"/>
      <c r="N70"/>
    </row>
    <row r="71" spans="1:22" ht="14.4" customHeight="1">
      <c r="A71" s="90"/>
      <c r="B71" s="54"/>
      <c r="D71" s="8"/>
      <c r="E71" s="37"/>
      <c r="F71" s="37"/>
      <c r="G71" s="37"/>
      <c r="H71"/>
      <c r="I71"/>
      <c r="J71"/>
      <c r="K71"/>
      <c r="L71"/>
      <c r="M71"/>
      <c r="N71"/>
    </row>
    <row r="72" spans="1:22" ht="14.4" customHeight="1">
      <c r="A72" s="90"/>
      <c r="B72" s="54"/>
      <c r="C72" s="92" t="s">
        <v>2700</v>
      </c>
      <c r="D72" s="92"/>
      <c r="E72" s="92"/>
      <c r="F72" s="92"/>
      <c r="G72" s="92"/>
      <c r="H72"/>
      <c r="I72"/>
      <c r="J72"/>
      <c r="K72"/>
      <c r="L72"/>
      <c r="M72"/>
      <c r="N72"/>
    </row>
    <row r="73" spans="1:22" ht="41.4" customHeight="1">
      <c r="A73" s="90"/>
      <c r="B73" s="54"/>
      <c r="C73" s="92"/>
      <c r="D73" s="92"/>
      <c r="E73" s="92"/>
      <c r="F73" s="92"/>
      <c r="G73" s="92"/>
      <c r="H73"/>
      <c r="I73"/>
      <c r="J73"/>
      <c r="K73"/>
      <c r="L73"/>
      <c r="M73"/>
      <c r="N73"/>
    </row>
    <row r="74" spans="1:22" ht="14.4">
      <c r="A74" s="90"/>
      <c r="C74" s="92"/>
      <c r="D74" s="92"/>
      <c r="E74" s="92"/>
      <c r="F74" s="92"/>
      <c r="G74" s="92"/>
      <c r="H74"/>
      <c r="I74"/>
      <c r="J74"/>
    </row>
    <row r="75" spans="1:22" ht="14.4">
      <c r="A75" s="90"/>
      <c r="C75" s="92"/>
      <c r="D75" s="92"/>
      <c r="E75" s="92"/>
      <c r="F75" s="92"/>
      <c r="G75" s="92"/>
      <c r="H75"/>
      <c r="I75"/>
      <c r="J75"/>
    </row>
    <row r="76" spans="1:22" ht="14.4">
      <c r="A76" s="90"/>
      <c r="F76" s="4"/>
      <c r="G76" s="6"/>
      <c r="H76"/>
      <c r="I76"/>
      <c r="J76"/>
    </row>
    <row r="77" spans="1:22" ht="14.4">
      <c r="F77" s="4"/>
      <c r="G77" s="6"/>
      <c r="H77"/>
      <c r="I77"/>
      <c r="J77"/>
    </row>
    <row r="78" spans="1:22" ht="14.4">
      <c r="F78" s="4"/>
      <c r="G78" s="6"/>
      <c r="H78"/>
      <c r="I78"/>
      <c r="J78"/>
    </row>
    <row r="79" spans="1:22" ht="14.4">
      <c r="F79" s="4"/>
      <c r="G79" s="6"/>
      <c r="H79"/>
      <c r="I79"/>
      <c r="J79"/>
    </row>
    <row r="80" spans="1:22" ht="14.4">
      <c r="F80" s="4"/>
      <c r="G80" s="6"/>
      <c r="H80"/>
      <c r="I80"/>
      <c r="J80"/>
    </row>
    <row r="81" spans="5:10" ht="14.4">
      <c r="F81" s="4"/>
      <c r="G81" s="6"/>
      <c r="H81"/>
      <c r="I81"/>
      <c r="J81"/>
    </row>
    <row r="82" spans="5:10" ht="14.4">
      <c r="F82" s="4"/>
      <c r="G82" s="6"/>
      <c r="H82"/>
      <c r="I82"/>
      <c r="J82"/>
    </row>
    <row r="83" spans="5:10" ht="14.4">
      <c r="F83" s="4"/>
      <c r="G83" s="6"/>
      <c r="H83"/>
      <c r="I83"/>
      <c r="J83"/>
    </row>
    <row r="84" spans="5:10" ht="14.4">
      <c r="F84" s="4"/>
      <c r="G84" s="6"/>
      <c r="H84"/>
      <c r="I84"/>
      <c r="J84"/>
    </row>
    <row r="85" spans="5:10" ht="14.4">
      <c r="F85" s="4"/>
      <c r="G85" s="6"/>
      <c r="H85"/>
      <c r="I85"/>
      <c r="J85"/>
    </row>
    <row r="86" spans="5:10" ht="14.4">
      <c r="F86" s="4"/>
      <c r="G86" s="6"/>
      <c r="H86"/>
      <c r="I86"/>
      <c r="J86"/>
    </row>
    <row r="87" spans="5:10" ht="14.4">
      <c r="F87" s="4"/>
      <c r="G87" s="6"/>
      <c r="H87"/>
      <c r="I87"/>
      <c r="J87"/>
    </row>
    <row r="88" spans="5:10" ht="14.4">
      <c r="F88" s="4"/>
      <c r="G88" s="6"/>
      <c r="H88"/>
      <c r="I88"/>
      <c r="J88"/>
    </row>
    <row r="89" spans="5:10" ht="14.4">
      <c r="F89" s="4"/>
      <c r="G89" s="6"/>
      <c r="H89"/>
      <c r="I89"/>
      <c r="J89"/>
    </row>
    <row r="90" spans="5:10" ht="14.4">
      <c r="F90" s="4"/>
      <c r="G90" s="6"/>
      <c r="H90"/>
      <c r="I90"/>
      <c r="J90"/>
    </row>
    <row r="91" spans="5:10" ht="14.4">
      <c r="E91" s="7"/>
      <c r="F91" s="7"/>
      <c r="H91"/>
      <c r="I91"/>
      <c r="J91"/>
    </row>
    <row r="92" spans="5:10" ht="14.4">
      <c r="E92" s="7"/>
      <c r="F92" s="7"/>
      <c r="H92"/>
      <c r="I92"/>
      <c r="J92"/>
    </row>
    <row r="93" spans="5:10" ht="14.4">
      <c r="E93" s="7"/>
      <c r="F93" s="7"/>
      <c r="H93"/>
      <c r="I93"/>
      <c r="J93"/>
    </row>
    <row r="94" spans="5:10" ht="14.4">
      <c r="E94" s="7"/>
      <c r="F94" s="7"/>
      <c r="H94"/>
      <c r="I94"/>
      <c r="J94"/>
    </row>
    <row r="95" spans="5:10" ht="14.4">
      <c r="E95" s="7"/>
      <c r="F95" s="7"/>
      <c r="H95"/>
      <c r="I95"/>
      <c r="J95"/>
    </row>
    <row r="96" spans="5:10" ht="14.4">
      <c r="E96" s="7"/>
      <c r="F96" s="7"/>
      <c r="H96"/>
      <c r="I96"/>
      <c r="J96"/>
    </row>
    <row r="97" spans="5:10" ht="14.4">
      <c r="E97" s="7"/>
      <c r="F97" s="7"/>
      <c r="H97"/>
      <c r="I97"/>
      <c r="J97"/>
    </row>
    <row r="98" spans="5:10" ht="14.4">
      <c r="E98" s="7"/>
      <c r="F98" s="7"/>
      <c r="H98"/>
      <c r="I98"/>
      <c r="J98"/>
    </row>
    <row r="99" spans="5:10" ht="14.4">
      <c r="E99" s="7"/>
      <c r="F99" s="7"/>
      <c r="H99"/>
      <c r="I99"/>
      <c r="J99"/>
    </row>
    <row r="100" spans="5:10" ht="14.4">
      <c r="E100" s="7"/>
      <c r="F100" s="7"/>
      <c r="H100"/>
      <c r="I100"/>
      <c r="J100"/>
    </row>
    <row r="101" spans="5:10" ht="14.4">
      <c r="E101" s="7"/>
      <c r="F101" s="7"/>
      <c r="H101"/>
      <c r="I101"/>
      <c r="J101"/>
    </row>
    <row r="102" spans="5:10" ht="14.4">
      <c r="E102" s="7"/>
      <c r="F102" s="7"/>
      <c r="H102"/>
      <c r="I102"/>
      <c r="J102"/>
    </row>
    <row r="103" spans="5:10" ht="14.4">
      <c r="E103" s="7"/>
      <c r="F103" s="7"/>
      <c r="H103"/>
      <c r="I103"/>
      <c r="J103"/>
    </row>
    <row r="104" spans="5:10" ht="14.4">
      <c r="E104" s="7"/>
      <c r="F104" s="7"/>
      <c r="H104"/>
      <c r="I104"/>
      <c r="J104"/>
    </row>
    <row r="105" spans="5:10" ht="14.4">
      <c r="E105" s="7"/>
      <c r="F105" s="7"/>
      <c r="H105"/>
      <c r="I105"/>
      <c r="J105"/>
    </row>
    <row r="106" spans="5:10" ht="14.4">
      <c r="E106" s="7"/>
      <c r="F106" s="7"/>
      <c r="H106"/>
      <c r="I106"/>
      <c r="J106"/>
    </row>
    <row r="107" spans="5:10" ht="14.4">
      <c r="E107" s="7"/>
      <c r="F107" s="7"/>
      <c r="H107"/>
      <c r="I107"/>
      <c r="J107"/>
    </row>
    <row r="108" spans="5:10" ht="14.4">
      <c r="E108" s="7"/>
      <c r="F108" s="7"/>
      <c r="H108"/>
      <c r="I108"/>
      <c r="J108"/>
    </row>
    <row r="109" spans="5:10" ht="14.4">
      <c r="H109"/>
      <c r="I109"/>
      <c r="J109"/>
    </row>
    <row r="110" spans="5:10" ht="14.4">
      <c r="H110"/>
      <c r="I110"/>
      <c r="J110"/>
    </row>
    <row r="111" spans="5:10" ht="14.4">
      <c r="H111"/>
      <c r="I111"/>
      <c r="J111"/>
    </row>
    <row r="112" spans="5:10" ht="14.4">
      <c r="H112"/>
      <c r="I112"/>
      <c r="J112"/>
    </row>
    <row r="113" spans="8:10" ht="14.4">
      <c r="H113"/>
      <c r="I113"/>
      <c r="J113"/>
    </row>
    <row r="114" spans="8:10" ht="14.4">
      <c r="H114"/>
      <c r="I114"/>
      <c r="J114"/>
    </row>
    <row r="115" spans="8:10" ht="14.4">
      <c r="H115"/>
      <c r="I115"/>
      <c r="J115"/>
    </row>
    <row r="116" spans="8:10" ht="14.4">
      <c r="H116"/>
      <c r="I116"/>
      <c r="J116"/>
    </row>
    <row r="117" spans="8:10" ht="14.4">
      <c r="H117"/>
      <c r="I117"/>
      <c r="J117"/>
    </row>
    <row r="118" spans="8:10" ht="14.4">
      <c r="H118"/>
      <c r="I118"/>
      <c r="J118"/>
    </row>
    <row r="119" spans="8:10" ht="14.4">
      <c r="H119"/>
      <c r="I119"/>
      <c r="J119"/>
    </row>
    <row r="120" spans="8:10" ht="14.4">
      <c r="H120"/>
      <c r="I120"/>
      <c r="J120"/>
    </row>
    <row r="121" spans="8:10" ht="14.4">
      <c r="H121"/>
      <c r="I121"/>
      <c r="J121"/>
    </row>
    <row r="122" spans="8:10" ht="14.4">
      <c r="H122"/>
      <c r="I122"/>
      <c r="J122"/>
    </row>
    <row r="123" spans="8:10" ht="14.4">
      <c r="H123"/>
      <c r="I123"/>
      <c r="J123"/>
    </row>
    <row r="124" spans="8:10" ht="14.4">
      <c r="H124"/>
      <c r="I124"/>
      <c r="J124"/>
    </row>
  </sheetData>
  <sheetProtection algorithmName="SHA-512" hashValue="EYmCy4aFMgWNAHCIroZCIU2X5KPu0BXh4xHk24uguX8HmGUsJTi3M8g7661cx1ULzLST64HMy/+9G92rmMfitg==" saltValue="j77k8v8BcPkrbP/JjhCtIw==" spinCount="100000" sheet="1" objects="1" scenarios="1"/>
  <protectedRanges>
    <protectedRange sqref="D5:D8 G5:G8 D12:D15 G12:G15 F49:F69" name="Range1"/>
  </protectedRanges>
  <mergeCells count="5">
    <mergeCell ref="A1:A76"/>
    <mergeCell ref="C72:G75"/>
    <mergeCell ref="C27:G29"/>
    <mergeCell ref="C30:G31"/>
    <mergeCell ref="C25:G26"/>
  </mergeCells>
  <phoneticPr fontId="4" type="noConversion"/>
  <conditionalFormatting sqref="C17">
    <cfRule type="containsText" dxfId="8" priority="7" operator="containsText" text="Fail">
      <formula>NOT(ISERROR(SEARCH("Fail",C17)))</formula>
    </cfRule>
    <cfRule type="containsText" dxfId="7" priority="8" operator="containsText" text="Need Attention">
      <formula>NOT(ISERROR(SEARCH("Need Attention",C17)))</formula>
    </cfRule>
    <cfRule type="containsText" dxfId="6" priority="9" operator="containsText" text="Pass">
      <formula>NOT(ISERROR(SEARCH("Pass",C17)))</formula>
    </cfRule>
  </conditionalFormatting>
  <conditionalFormatting sqref="F20">
    <cfRule type="containsText" dxfId="5" priority="11" operator="containsText" text="Dead">
      <formula>NOT(ISERROR(SEARCH("Dead",F20)))</formula>
    </cfRule>
  </conditionalFormatting>
  <conditionalFormatting sqref="G17">
    <cfRule type="containsText" dxfId="4" priority="1" operator="containsText" text="Not Complied">
      <formula>NOT(ISERROR(SEARCH("Not Complied",G17)))</formula>
    </cfRule>
    <cfRule type="containsText" dxfId="3" priority="2" operator="containsText" text="Complied">
      <formula>NOT(ISERROR(SEARCH("Complied",G17)))</formula>
    </cfRule>
  </conditionalFormatting>
  <pageMargins left="0.9" right="0.1" top="0.75" bottom="0.25" header="0.3" footer="0.05"/>
  <pageSetup scale="52" orientation="portrait" r:id="rId1"/>
  <headerFooter>
    <oddHeader>&amp;L&amp;G</oddHeader>
    <oddFooter>&amp;R&amp;"Myriad Pro,Regular"&amp;K0C4270&amp;D</oddFooter>
  </headerFooter>
  <drawing r:id="rId2"/>
  <legacyDrawingHF r:id="rId3"/>
  <tableParts count="1">
    <tablePart r:id="rId4"/>
  </tableParts>
  <extLst>
    <ext xmlns:x14="http://schemas.microsoft.com/office/spreadsheetml/2009/9/main" uri="{CCE6A557-97BC-4b89-ADB6-D9C93CAAB3DF}">
      <x14:dataValidations xmlns:xm="http://schemas.microsoft.com/office/excel/2006/main" count="5">
        <x14:dataValidation type="list" allowBlank="1" showInputMessage="1" showErrorMessage="1" xr:uid="{2E550810-CC21-4181-8779-466A540A93FD}">
          <x14:formula1>
            <xm:f>Lists!$G$2:$G$302</xm:f>
          </x14:formula1>
          <xm:sqref>D14:D15 G13</xm:sqref>
        </x14:dataValidation>
        <x14:dataValidation type="list" allowBlank="1" showInputMessage="1" showErrorMessage="1" xr:uid="{57ABCAD3-31D4-404C-B2D1-D7A1D5AFD5E8}">
          <x14:formula1>
            <xm:f>Lists!$H$2:$H$202</xm:f>
          </x14:formula1>
          <xm:sqref>G12</xm:sqref>
        </x14:dataValidation>
        <x14:dataValidation type="list" allowBlank="1" showInputMessage="1" showErrorMessage="1" xr:uid="{E9C302EF-9356-4E58-BD87-4AC15419B682}">
          <x14:formula1>
            <xm:f>Lists!$I$2:$I$52</xm:f>
          </x14:formula1>
          <xm:sqref>G14</xm:sqref>
        </x14:dataValidation>
        <x14:dataValidation type="list" allowBlank="1" showInputMessage="1" showErrorMessage="1" xr:uid="{E0236716-96E3-4292-828A-2DDD6E6DF56C}">
          <x14:formula1>
            <xm:f>Lists!$K$2:$K$7</xm:f>
          </x14:formula1>
          <xm:sqref>G5</xm:sqref>
        </x14:dataValidation>
        <x14:dataValidation type="list" allowBlank="1" showInputMessage="1" showErrorMessage="1" xr:uid="{3A1C74A0-83DB-4081-916F-7FFB1C5EB424}">
          <x14:formula1>
            <xm:f>Lists!$J$2:$J$8</xm:f>
          </x14:formula1>
          <xm:sqref>G6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pageSetUpPr fitToPage="1"/>
  </sheetPr>
  <dimension ref="A1:H35"/>
  <sheetViews>
    <sheetView showGridLines="0" view="pageBreakPreview" zoomScale="60" zoomScaleNormal="100" workbookViewId="0">
      <selection activeCell="D9" sqref="D9"/>
    </sheetView>
  </sheetViews>
  <sheetFormatPr defaultRowHeight="13.8"/>
  <cols>
    <col min="1" max="1" width="8.88671875" style="7"/>
    <col min="2" max="2" width="23" style="7" bestFit="1" customWidth="1"/>
    <col min="3" max="3" width="45.21875" style="7" bestFit="1" customWidth="1"/>
    <col min="4" max="4" width="24.77734375" style="7" bestFit="1" customWidth="1"/>
    <col min="5" max="5" width="42.5546875" style="7" bestFit="1" customWidth="1"/>
    <col min="6" max="6" width="14.5546875" style="7" bestFit="1" customWidth="1"/>
    <col min="7" max="7" width="18.21875" style="7" bestFit="1" customWidth="1"/>
    <col min="8" max="8" width="13.6640625" style="7" bestFit="1" customWidth="1"/>
    <col min="9" max="11" width="8.88671875" style="7"/>
    <col min="12" max="12" width="8.88671875" style="7" customWidth="1"/>
    <col min="13" max="16384" width="8.88671875" style="7"/>
  </cols>
  <sheetData>
    <row r="1" spans="1:8" ht="13.8" customHeight="1">
      <c r="B1" s="70"/>
      <c r="C1" s="70"/>
      <c r="D1" s="70"/>
      <c r="E1" s="70"/>
      <c r="F1" s="70"/>
      <c r="G1" s="70"/>
      <c r="H1" s="70"/>
    </row>
    <row r="3" spans="1:8" ht="28.05" customHeight="1">
      <c r="A3" s="90" t="s">
        <v>1383</v>
      </c>
      <c r="B3" s="71" t="s">
        <v>131</v>
      </c>
      <c r="C3" s="71" t="s">
        <v>132</v>
      </c>
      <c r="D3" s="69" t="s">
        <v>1470</v>
      </c>
      <c r="E3" s="69" t="s">
        <v>2601</v>
      </c>
      <c r="F3" s="69" t="s">
        <v>142</v>
      </c>
      <c r="G3" s="71" t="s">
        <v>133</v>
      </c>
      <c r="H3" s="71" t="s">
        <v>134</v>
      </c>
    </row>
    <row r="4" spans="1:8" ht="18" customHeight="1">
      <c r="A4" s="90"/>
      <c r="B4" s="7" t="s">
        <v>2602</v>
      </c>
      <c r="C4" s="7" t="s">
        <v>2604</v>
      </c>
      <c r="D4" s="7" t="s">
        <v>1381</v>
      </c>
      <c r="E4" s="81" t="s">
        <v>2605</v>
      </c>
      <c r="F4" s="7" t="s">
        <v>2603</v>
      </c>
    </row>
    <row r="5" spans="1:8" ht="18" customHeight="1">
      <c r="A5" s="90"/>
      <c r="B5" s="7" t="s">
        <v>2602</v>
      </c>
      <c r="C5" s="7" t="s">
        <v>2607</v>
      </c>
      <c r="D5" s="7" t="s">
        <v>1381</v>
      </c>
      <c r="E5" s="81" t="s">
        <v>2608</v>
      </c>
      <c r="F5" s="7" t="s">
        <v>2606</v>
      </c>
    </row>
    <row r="6" spans="1:8" ht="18" customHeight="1">
      <c r="A6" s="90"/>
      <c r="B6" s="7" t="s">
        <v>2602</v>
      </c>
      <c r="C6" s="7" t="s">
        <v>1375</v>
      </c>
      <c r="D6" s="7" t="s">
        <v>1379</v>
      </c>
      <c r="E6" s="81" t="s">
        <v>2610</v>
      </c>
      <c r="F6" s="7" t="s">
        <v>2609</v>
      </c>
    </row>
    <row r="7" spans="1:8" ht="18" customHeight="1">
      <c r="A7" s="90"/>
      <c r="B7" s="7" t="s">
        <v>2602</v>
      </c>
      <c r="C7" s="7" t="s">
        <v>1376</v>
      </c>
      <c r="D7" s="7" t="s">
        <v>1381</v>
      </c>
      <c r="E7" s="81" t="s">
        <v>2612</v>
      </c>
      <c r="F7" s="7" t="s">
        <v>2611</v>
      </c>
    </row>
    <row r="8" spans="1:8" ht="18" customHeight="1">
      <c r="A8" s="90"/>
      <c r="B8" s="7" t="s">
        <v>2602</v>
      </c>
      <c r="C8" s="7" t="s">
        <v>2614</v>
      </c>
      <c r="D8" s="7" t="s">
        <v>1381</v>
      </c>
      <c r="E8" s="81" t="s">
        <v>2615</v>
      </c>
      <c r="F8" s="7" t="s">
        <v>2613</v>
      </c>
    </row>
    <row r="9" spans="1:8" ht="18" customHeight="1">
      <c r="A9" s="90"/>
      <c r="B9" s="7" t="s">
        <v>2602</v>
      </c>
      <c r="C9" s="7" t="s">
        <v>2617</v>
      </c>
      <c r="D9" s="7" t="s">
        <v>1381</v>
      </c>
      <c r="E9" s="81" t="s">
        <v>2618</v>
      </c>
      <c r="F9" s="7" t="s">
        <v>2616</v>
      </c>
    </row>
    <row r="10" spans="1:8" ht="18" customHeight="1">
      <c r="A10" s="90"/>
      <c r="B10" s="7" t="s">
        <v>2619</v>
      </c>
      <c r="C10" s="7" t="s">
        <v>1377</v>
      </c>
      <c r="D10" s="7" t="s">
        <v>1381</v>
      </c>
      <c r="E10" s="81" t="s">
        <v>2621</v>
      </c>
      <c r="F10" s="7" t="s">
        <v>2620</v>
      </c>
    </row>
    <row r="11" spans="1:8" ht="18" customHeight="1">
      <c r="A11" s="90"/>
      <c r="B11" s="7" t="s">
        <v>2619</v>
      </c>
      <c r="C11" s="7" t="s">
        <v>2623</v>
      </c>
      <c r="D11" s="7" t="s">
        <v>1381</v>
      </c>
      <c r="E11" s="81" t="s">
        <v>2621</v>
      </c>
      <c r="F11" s="7" t="s">
        <v>2622</v>
      </c>
    </row>
    <row r="12" spans="1:8" ht="18" customHeight="1">
      <c r="A12" s="90"/>
      <c r="B12" s="7" t="s">
        <v>2619</v>
      </c>
      <c r="C12" s="7" t="s">
        <v>1378</v>
      </c>
      <c r="D12" s="7" t="s">
        <v>1381</v>
      </c>
      <c r="E12" s="81" t="s">
        <v>2625</v>
      </c>
      <c r="F12" s="7" t="s">
        <v>2624</v>
      </c>
    </row>
    <row r="13" spans="1:8" ht="18" customHeight="1">
      <c r="A13" s="90"/>
      <c r="B13" s="7" t="s">
        <v>2626</v>
      </c>
      <c r="C13" s="7" t="s">
        <v>2628</v>
      </c>
      <c r="D13" s="7" t="s">
        <v>1379</v>
      </c>
      <c r="E13" s="81" t="s">
        <v>2629</v>
      </c>
      <c r="F13" s="7" t="s">
        <v>2627</v>
      </c>
    </row>
    <row r="14" spans="1:8" ht="18" customHeight="1">
      <c r="A14" s="90"/>
      <c r="B14" s="7" t="s">
        <v>82</v>
      </c>
      <c r="C14" s="7" t="s">
        <v>2631</v>
      </c>
      <c r="D14" s="7" t="s">
        <v>1381</v>
      </c>
      <c r="E14" s="81" t="s">
        <v>2632</v>
      </c>
      <c r="F14" s="7" t="s">
        <v>2630</v>
      </c>
    </row>
    <row r="15" spans="1:8" ht="18" customHeight="1">
      <c r="A15" s="90"/>
      <c r="B15" s="7" t="s">
        <v>82</v>
      </c>
      <c r="C15" s="7" t="s">
        <v>2634</v>
      </c>
      <c r="D15" s="7" t="s">
        <v>1379</v>
      </c>
      <c r="E15" s="81" t="s">
        <v>2635</v>
      </c>
      <c r="F15" s="7" t="s">
        <v>2633</v>
      </c>
    </row>
    <row r="16" spans="1:8" ht="18" customHeight="1">
      <c r="A16" s="90"/>
      <c r="B16" s="7" t="s">
        <v>82</v>
      </c>
      <c r="C16" s="7" t="s">
        <v>2637</v>
      </c>
      <c r="D16" s="7" t="s">
        <v>1381</v>
      </c>
      <c r="E16" s="81" t="s">
        <v>2638</v>
      </c>
      <c r="F16" s="7" t="s">
        <v>2636</v>
      </c>
    </row>
    <row r="17" spans="1:6" ht="18" customHeight="1">
      <c r="A17" s="90"/>
      <c r="B17" s="7" t="s">
        <v>82</v>
      </c>
      <c r="C17" s="7" t="s">
        <v>2640</v>
      </c>
      <c r="D17" s="7" t="s">
        <v>1381</v>
      </c>
      <c r="E17" s="81" t="s">
        <v>2641</v>
      </c>
      <c r="F17" s="7" t="s">
        <v>2639</v>
      </c>
    </row>
    <row r="18" spans="1:6" ht="18" customHeight="1">
      <c r="A18" s="90"/>
      <c r="B18" s="7" t="s">
        <v>82</v>
      </c>
      <c r="C18" s="7" t="s">
        <v>2643</v>
      </c>
      <c r="D18" s="7" t="s">
        <v>1381</v>
      </c>
      <c r="E18" s="81" t="s">
        <v>2644</v>
      </c>
      <c r="F18" s="7" t="s">
        <v>2642</v>
      </c>
    </row>
    <row r="19" spans="1:6" ht="18" customHeight="1">
      <c r="A19" s="90"/>
      <c r="B19" s="7" t="s">
        <v>82</v>
      </c>
      <c r="C19" s="7" t="s">
        <v>2646</v>
      </c>
      <c r="D19" s="7" t="s">
        <v>1381</v>
      </c>
      <c r="E19" s="81" t="s">
        <v>2647</v>
      </c>
      <c r="F19" s="7" t="s">
        <v>2645</v>
      </c>
    </row>
    <row r="20" spans="1:6" ht="18" customHeight="1">
      <c r="A20" s="90"/>
      <c r="B20" s="7" t="s">
        <v>82</v>
      </c>
      <c r="C20" s="7" t="s">
        <v>2649</v>
      </c>
      <c r="D20" s="7" t="s">
        <v>1381</v>
      </c>
      <c r="E20" s="81" t="s">
        <v>2650</v>
      </c>
      <c r="F20" s="7" t="s">
        <v>2648</v>
      </c>
    </row>
    <row r="21" spans="1:6" ht="18" customHeight="1">
      <c r="A21" s="90"/>
      <c r="B21" s="7" t="s">
        <v>82</v>
      </c>
      <c r="C21" s="7" t="s">
        <v>2652</v>
      </c>
      <c r="D21" s="7" t="s">
        <v>1381</v>
      </c>
      <c r="E21" s="81" t="s">
        <v>2653</v>
      </c>
      <c r="F21" s="7" t="s">
        <v>2651</v>
      </c>
    </row>
    <row r="22" spans="1:6" ht="18" customHeight="1">
      <c r="A22" s="90"/>
      <c r="B22" s="7" t="s">
        <v>2654</v>
      </c>
      <c r="C22" s="7" t="s">
        <v>2656</v>
      </c>
      <c r="D22" s="7" t="s">
        <v>1380</v>
      </c>
      <c r="E22" s="81" t="s">
        <v>2657</v>
      </c>
      <c r="F22" s="7" t="s">
        <v>2655</v>
      </c>
    </row>
    <row r="23" spans="1:6" ht="18" customHeight="1">
      <c r="A23" s="90"/>
      <c r="B23" s="7" t="s">
        <v>2654</v>
      </c>
      <c r="C23" s="7" t="s">
        <v>2659</v>
      </c>
      <c r="D23" s="7" t="s">
        <v>1381</v>
      </c>
      <c r="E23" s="81" t="s">
        <v>2660</v>
      </c>
      <c r="F23" s="7" t="s">
        <v>2658</v>
      </c>
    </row>
    <row r="24" spans="1:6" ht="18" customHeight="1">
      <c r="A24" s="90"/>
      <c r="B24" s="7" t="s">
        <v>2654</v>
      </c>
      <c r="C24" s="7" t="s">
        <v>2662</v>
      </c>
      <c r="D24" s="7" t="s">
        <v>1381</v>
      </c>
      <c r="E24" s="81" t="s">
        <v>2663</v>
      </c>
      <c r="F24" s="7" t="s">
        <v>2661</v>
      </c>
    </row>
    <row r="25" spans="1:6" ht="18" customHeight="1">
      <c r="A25" s="90"/>
      <c r="B25" s="7" t="s">
        <v>2654</v>
      </c>
      <c r="C25" s="7" t="s">
        <v>2665</v>
      </c>
      <c r="D25" s="7" t="s">
        <v>1381</v>
      </c>
      <c r="E25" s="81" t="s">
        <v>2666</v>
      </c>
      <c r="F25" s="7" t="s">
        <v>2664</v>
      </c>
    </row>
    <row r="26" spans="1:6" ht="18" customHeight="1">
      <c r="A26" s="90"/>
      <c r="B26" s="7" t="s">
        <v>2654</v>
      </c>
      <c r="C26" s="7" t="s">
        <v>2668</v>
      </c>
      <c r="D26" s="7" t="s">
        <v>1379</v>
      </c>
      <c r="E26" s="81" t="s">
        <v>2669</v>
      </c>
      <c r="F26" s="7" t="s">
        <v>2667</v>
      </c>
    </row>
    <row r="27" spans="1:6" ht="18" customHeight="1">
      <c r="A27" s="90"/>
      <c r="B27" s="7" t="s">
        <v>2654</v>
      </c>
      <c r="C27" s="7" t="s">
        <v>2671</v>
      </c>
      <c r="D27" s="7" t="s">
        <v>1381</v>
      </c>
      <c r="E27" s="81" t="s">
        <v>2672</v>
      </c>
      <c r="F27" s="7" t="s">
        <v>2670</v>
      </c>
    </row>
    <row r="28" spans="1:6" ht="18" customHeight="1">
      <c r="A28" s="90"/>
      <c r="B28" s="7" t="s">
        <v>2654</v>
      </c>
      <c r="C28" s="7" t="s">
        <v>2674</v>
      </c>
      <c r="D28" s="7" t="s">
        <v>1381</v>
      </c>
      <c r="E28" s="81" t="s">
        <v>2675</v>
      </c>
      <c r="F28" s="7" t="s">
        <v>2673</v>
      </c>
    </row>
    <row r="29" spans="1:6" ht="18" customHeight="1">
      <c r="A29" s="90"/>
      <c r="B29" s="7" t="s">
        <v>2654</v>
      </c>
      <c r="C29" s="7" t="s">
        <v>2677</v>
      </c>
      <c r="D29" s="7" t="s">
        <v>1381</v>
      </c>
      <c r="E29" s="81" t="s">
        <v>2678</v>
      </c>
      <c r="F29" s="7" t="s">
        <v>2676</v>
      </c>
    </row>
    <row r="30" spans="1:6" ht="18" customHeight="1">
      <c r="A30" s="90"/>
      <c r="B30" s="7" t="s">
        <v>2679</v>
      </c>
      <c r="C30" s="7" t="s">
        <v>2681</v>
      </c>
      <c r="D30" s="7" t="s">
        <v>1381</v>
      </c>
      <c r="E30" s="81" t="s">
        <v>2682</v>
      </c>
      <c r="F30" s="7" t="s">
        <v>2680</v>
      </c>
    </row>
    <row r="31" spans="1:6" ht="18" customHeight="1">
      <c r="A31" s="90"/>
      <c r="B31" s="7" t="s">
        <v>2679</v>
      </c>
      <c r="C31" s="7" t="s">
        <v>2684</v>
      </c>
      <c r="D31" s="7" t="s">
        <v>1381</v>
      </c>
      <c r="E31" s="81" t="s">
        <v>2685</v>
      </c>
      <c r="F31" s="7" t="s">
        <v>2683</v>
      </c>
    </row>
    <row r="32" spans="1:6" ht="18" customHeight="1">
      <c r="A32" s="90"/>
      <c r="B32" s="7" t="s">
        <v>2686</v>
      </c>
      <c r="C32" s="7" t="s">
        <v>2688</v>
      </c>
      <c r="D32" s="7" t="s">
        <v>1381</v>
      </c>
      <c r="E32" s="81" t="s">
        <v>2689</v>
      </c>
      <c r="F32" s="7" t="s">
        <v>2687</v>
      </c>
    </row>
    <row r="33" spans="1:6" ht="18" customHeight="1">
      <c r="A33" s="90"/>
      <c r="B33" s="7" t="s">
        <v>2686</v>
      </c>
      <c r="C33" s="7" t="s">
        <v>2691</v>
      </c>
      <c r="D33" s="7" t="s">
        <v>1381</v>
      </c>
      <c r="E33" s="81" t="s">
        <v>2692</v>
      </c>
      <c r="F33" s="7" t="s">
        <v>2690</v>
      </c>
    </row>
    <row r="34" spans="1:6" ht="18" customHeight="1">
      <c r="A34" s="90"/>
      <c r="B34" s="7" t="s">
        <v>2686</v>
      </c>
      <c r="C34" s="7" t="s">
        <v>2694</v>
      </c>
      <c r="D34" s="7" t="s">
        <v>45</v>
      </c>
      <c r="E34" s="81" t="s">
        <v>2695</v>
      </c>
      <c r="F34" s="7" t="s">
        <v>2693</v>
      </c>
    </row>
    <row r="35" spans="1:6" ht="18" customHeight="1">
      <c r="A35" s="90"/>
      <c r="B35" s="7" t="s">
        <v>2696</v>
      </c>
      <c r="C35" s="7" t="s">
        <v>2698</v>
      </c>
      <c r="D35" s="7" t="s">
        <v>45</v>
      </c>
      <c r="E35" s="81" t="s">
        <v>2699</v>
      </c>
      <c r="F35" s="7" t="s">
        <v>2697</v>
      </c>
    </row>
  </sheetData>
  <protectedRanges>
    <protectedRange sqref="D4:H35" name="Range1"/>
  </protectedRanges>
  <mergeCells count="1">
    <mergeCell ref="A3:A35"/>
  </mergeCells>
  <dataValidations count="1">
    <dataValidation type="list" allowBlank="1" showDropDown="1" errorTitle="Invalid Status" error="Select: Yes, No, Partial, or NA" promptTitle="Status" prompt="Choose compliance status" sqref="D36:F214" xr:uid="{00000000-0002-0000-0300-000000000000}">
      <formula1>"Yes,No,Partial,NA"</formula1>
    </dataValidation>
  </dataValidations>
  <pageMargins left="0.75" right="0.75" top="1" bottom="1" header="0.5" footer="0.5"/>
  <pageSetup scale="63" fitToHeight="0" orientation="landscape" r:id="rId1"/>
  <headerFooter>
    <oddHeader>&amp;L&amp;G</oddHeader>
    <oddFooter>&amp;R&amp;"Myriad Pro,Regular"&amp;K0C4270&amp;D</oddFooter>
  </headerFooter>
  <legacyDrawingHF r:id="rId2"/>
  <tableParts count="1">
    <tablePart r:id="rId3"/>
  </tableParts>
  <extLst>
    <ext xmlns:x14="http://schemas.microsoft.com/office/spreadsheetml/2009/9/main" uri="{CCE6A557-97BC-4b89-ADB6-D9C93CAAB3DF}">
      <x14:dataValidations xmlns:xm="http://schemas.microsoft.com/office/excel/2006/main" count="1">
        <x14:dataValidation type="list" allowBlank="1" showInputMessage="1" showErrorMessage="1" xr:uid="{8DCBBB83-F48D-416D-A30B-D3B4A04F4F61}">
          <x14:formula1>
            <xm:f>Lists!$F$2:$F$5</xm:f>
          </x14:formula1>
          <xm:sqref>D4:D35</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L302"/>
  <sheetViews>
    <sheetView zoomScaleNormal="100" workbookViewId="0">
      <selection activeCell="A9" sqref="A9:C277"/>
    </sheetView>
  </sheetViews>
  <sheetFormatPr defaultRowHeight="14.4"/>
  <cols>
    <col min="1" max="1" width="24.5546875" bestFit="1" customWidth="1"/>
    <col min="2" max="2" width="28.5546875" bestFit="1" customWidth="1"/>
    <col min="3" max="3" width="23.44140625" bestFit="1" customWidth="1"/>
    <col min="4" max="4" width="15" bestFit="1" customWidth="1"/>
    <col min="5" max="5" width="12.6640625" bestFit="1" customWidth="1"/>
    <col min="6" max="6" width="6.33203125" bestFit="1" customWidth="1"/>
    <col min="10" max="10" width="21.88671875" bestFit="1" customWidth="1"/>
    <col min="11" max="11" width="25.21875" bestFit="1" customWidth="1"/>
  </cols>
  <sheetData>
    <row r="1" spans="1:12" ht="28.05" customHeight="1">
      <c r="A1" s="1" t="s">
        <v>9</v>
      </c>
      <c r="B1" s="1" t="s">
        <v>10</v>
      </c>
      <c r="C1" s="1" t="s">
        <v>11</v>
      </c>
      <c r="D1" s="1" t="s">
        <v>12</v>
      </c>
      <c r="E1" s="2" t="s">
        <v>1357</v>
      </c>
      <c r="F1" s="22" t="s">
        <v>10</v>
      </c>
      <c r="G1" s="2" t="s">
        <v>1452</v>
      </c>
      <c r="H1" s="2" t="s">
        <v>1360</v>
      </c>
      <c r="I1" s="2" t="s">
        <v>1353</v>
      </c>
      <c r="J1" s="2" t="s">
        <v>1460</v>
      </c>
      <c r="K1" s="2" t="s">
        <v>1461</v>
      </c>
      <c r="L1" s="2" t="s">
        <v>2586</v>
      </c>
    </row>
    <row r="2" spans="1:12">
      <c r="A2" t="s">
        <v>13</v>
      </c>
      <c r="B2" t="s">
        <v>14</v>
      </c>
      <c r="C2" t="s">
        <v>15</v>
      </c>
      <c r="D2" t="s">
        <v>16</v>
      </c>
      <c r="E2">
        <v>0</v>
      </c>
      <c r="F2" t="s">
        <v>1381</v>
      </c>
      <c r="G2">
        <v>1900</v>
      </c>
      <c r="H2">
        <v>0</v>
      </c>
      <c r="I2" s="63">
        <v>0.5</v>
      </c>
      <c r="J2" t="s">
        <v>1454</v>
      </c>
      <c r="K2" t="s">
        <v>1462</v>
      </c>
      <c r="L2" t="s">
        <v>2584</v>
      </c>
    </row>
    <row r="3" spans="1:12">
      <c r="A3" t="s">
        <v>29</v>
      </c>
      <c r="B3" t="s">
        <v>30</v>
      </c>
      <c r="C3" t="s">
        <v>31</v>
      </c>
      <c r="D3" t="s">
        <v>32</v>
      </c>
      <c r="E3">
        <v>1</v>
      </c>
      <c r="F3" t="s">
        <v>1379</v>
      </c>
      <c r="G3">
        <v>1901</v>
      </c>
      <c r="H3">
        <v>1</v>
      </c>
      <c r="I3" s="63">
        <v>0.51</v>
      </c>
      <c r="J3" t="s">
        <v>1455</v>
      </c>
      <c r="K3" t="s">
        <v>1463</v>
      </c>
      <c r="L3" t="s">
        <v>2585</v>
      </c>
    </row>
    <row r="4" spans="1:12">
      <c r="A4" t="s">
        <v>43</v>
      </c>
      <c r="B4" t="s">
        <v>44</v>
      </c>
      <c r="C4" t="s">
        <v>46</v>
      </c>
      <c r="D4" t="s">
        <v>47</v>
      </c>
      <c r="E4">
        <v>2</v>
      </c>
      <c r="F4" t="s">
        <v>1380</v>
      </c>
      <c r="G4">
        <v>1902</v>
      </c>
      <c r="H4">
        <v>2</v>
      </c>
      <c r="I4" s="63">
        <v>0.52</v>
      </c>
      <c r="J4" t="s">
        <v>1456</v>
      </c>
      <c r="K4" t="s">
        <v>1464</v>
      </c>
      <c r="L4" t="s">
        <v>2587</v>
      </c>
    </row>
    <row r="5" spans="1:12">
      <c r="A5" t="s">
        <v>57</v>
      </c>
      <c r="B5" t="s">
        <v>58</v>
      </c>
      <c r="C5" t="s">
        <v>59</v>
      </c>
      <c r="D5" t="s">
        <v>60</v>
      </c>
      <c r="E5">
        <v>3</v>
      </c>
      <c r="F5" t="s">
        <v>45</v>
      </c>
      <c r="G5">
        <v>1903</v>
      </c>
      <c r="H5">
        <v>3</v>
      </c>
      <c r="I5" s="63">
        <v>0.53</v>
      </c>
      <c r="J5" t="s">
        <v>1457</v>
      </c>
      <c r="K5" t="s">
        <v>1465</v>
      </c>
      <c r="L5" t="s">
        <v>2588</v>
      </c>
    </row>
    <row r="6" spans="1:12">
      <c r="B6" t="s">
        <v>45</v>
      </c>
      <c r="C6" t="s">
        <v>71</v>
      </c>
      <c r="D6" t="s">
        <v>72</v>
      </c>
      <c r="E6">
        <v>4</v>
      </c>
      <c r="G6">
        <v>1904</v>
      </c>
      <c r="H6">
        <v>4</v>
      </c>
      <c r="I6" s="63">
        <v>0.54</v>
      </c>
      <c r="J6" t="s">
        <v>1458</v>
      </c>
      <c r="K6" t="s">
        <v>1466</v>
      </c>
      <c r="L6" t="s">
        <v>2589</v>
      </c>
    </row>
    <row r="7" spans="1:12">
      <c r="D7" t="s">
        <v>81</v>
      </c>
      <c r="E7">
        <v>5</v>
      </c>
      <c r="G7">
        <v>1905</v>
      </c>
      <c r="H7">
        <v>5</v>
      </c>
      <c r="I7" s="63">
        <v>0.55000000000000004</v>
      </c>
      <c r="J7" t="s">
        <v>1459</v>
      </c>
      <c r="K7" t="s">
        <v>1467</v>
      </c>
      <c r="L7" t="s">
        <v>2590</v>
      </c>
    </row>
    <row r="8" spans="1:12">
      <c r="G8">
        <v>1906</v>
      </c>
      <c r="H8">
        <v>6</v>
      </c>
      <c r="I8" s="63">
        <v>0.56000000000000005</v>
      </c>
      <c r="J8" t="s">
        <v>1468</v>
      </c>
      <c r="L8" t="s">
        <v>2591</v>
      </c>
    </row>
    <row r="9" spans="1:12">
      <c r="A9" s="3" t="s">
        <v>139</v>
      </c>
      <c r="B9" s="2" t="s">
        <v>140</v>
      </c>
      <c r="C9" s="2" t="s">
        <v>141</v>
      </c>
      <c r="G9">
        <v>1907</v>
      </c>
      <c r="H9">
        <v>7</v>
      </c>
      <c r="I9" s="63">
        <v>0.56999999999999995</v>
      </c>
      <c r="L9" t="s">
        <v>2592</v>
      </c>
    </row>
    <row r="10" spans="1:12" ht="15">
      <c r="A10" t="s">
        <v>1472</v>
      </c>
      <c r="B10" s="79" t="s">
        <v>1473</v>
      </c>
      <c r="C10" t="s">
        <v>1575</v>
      </c>
      <c r="G10">
        <v>1908</v>
      </c>
      <c r="H10">
        <v>8</v>
      </c>
      <c r="I10" s="63">
        <v>0.57999999999999996</v>
      </c>
      <c r="L10" t="s">
        <v>2593</v>
      </c>
    </row>
    <row r="11" spans="1:12" ht="15">
      <c r="A11" t="s">
        <v>1472</v>
      </c>
      <c r="B11" s="79" t="s">
        <v>2416</v>
      </c>
      <c r="C11" t="s">
        <v>1576</v>
      </c>
      <c r="G11">
        <v>1909</v>
      </c>
      <c r="H11">
        <v>9</v>
      </c>
      <c r="I11" s="63">
        <v>0.59</v>
      </c>
      <c r="L11" t="s">
        <v>2594</v>
      </c>
    </row>
    <row r="12" spans="1:12" ht="15">
      <c r="A12" t="s">
        <v>1472</v>
      </c>
      <c r="B12" s="79" t="s">
        <v>1479</v>
      </c>
      <c r="C12" t="s">
        <v>1474</v>
      </c>
      <c r="G12">
        <v>1910</v>
      </c>
      <c r="H12">
        <v>10</v>
      </c>
      <c r="I12" s="63">
        <v>0.6</v>
      </c>
      <c r="L12" t="s">
        <v>2595</v>
      </c>
    </row>
    <row r="13" spans="1:12" ht="15">
      <c r="A13" t="s">
        <v>1472</v>
      </c>
      <c r="B13" s="79" t="s">
        <v>1483</v>
      </c>
      <c r="C13" t="s">
        <v>1577</v>
      </c>
      <c r="G13">
        <v>1911</v>
      </c>
      <c r="H13">
        <v>11</v>
      </c>
      <c r="I13" s="63">
        <v>0.61</v>
      </c>
      <c r="L13" t="s">
        <v>2596</v>
      </c>
    </row>
    <row r="14" spans="1:12" ht="15">
      <c r="A14" t="s">
        <v>1472</v>
      </c>
      <c r="B14" s="79" t="s">
        <v>1485</v>
      </c>
      <c r="C14" t="s">
        <v>1578</v>
      </c>
      <c r="G14">
        <v>1912</v>
      </c>
      <c r="H14">
        <v>12</v>
      </c>
      <c r="I14" s="63">
        <v>0.62</v>
      </c>
      <c r="L14" t="s">
        <v>2597</v>
      </c>
    </row>
    <row r="15" spans="1:12" ht="15">
      <c r="A15" t="s">
        <v>1472</v>
      </c>
      <c r="B15" s="79" t="s">
        <v>1488</v>
      </c>
      <c r="C15" t="s">
        <v>1475</v>
      </c>
      <c r="G15">
        <v>1913</v>
      </c>
      <c r="H15">
        <v>13</v>
      </c>
      <c r="I15" s="63">
        <v>0.63</v>
      </c>
      <c r="L15" t="s">
        <v>2598</v>
      </c>
    </row>
    <row r="16" spans="1:12" ht="15">
      <c r="A16" t="s">
        <v>1472</v>
      </c>
      <c r="B16" s="79" t="s">
        <v>82</v>
      </c>
      <c r="C16" t="s">
        <v>1579</v>
      </c>
      <c r="G16">
        <v>1914</v>
      </c>
      <c r="H16">
        <v>14</v>
      </c>
      <c r="I16" s="63">
        <v>0.64</v>
      </c>
      <c r="L16" t="s">
        <v>2599</v>
      </c>
    </row>
    <row r="17" spans="1:12" ht="15">
      <c r="A17" t="s">
        <v>1472</v>
      </c>
      <c r="B17" s="79" t="s">
        <v>2424</v>
      </c>
      <c r="C17" t="s">
        <v>1476</v>
      </c>
      <c r="G17">
        <v>1915</v>
      </c>
      <c r="H17">
        <v>15</v>
      </c>
      <c r="I17" s="63">
        <v>0.65</v>
      </c>
      <c r="L17" t="s">
        <v>2600</v>
      </c>
    </row>
    <row r="18" spans="1:12" ht="15">
      <c r="A18" t="s">
        <v>1472</v>
      </c>
      <c r="B18" s="79" t="s">
        <v>1192</v>
      </c>
      <c r="C18" t="s">
        <v>1477</v>
      </c>
      <c r="G18">
        <v>1916</v>
      </c>
      <c r="H18">
        <v>16</v>
      </c>
      <c r="I18" s="63">
        <v>0.66</v>
      </c>
    </row>
    <row r="19" spans="1:12">
      <c r="A19" t="s">
        <v>1472</v>
      </c>
      <c r="C19" t="s">
        <v>1580</v>
      </c>
      <c r="G19">
        <v>1917</v>
      </c>
      <c r="H19">
        <v>17</v>
      </c>
      <c r="I19" s="63">
        <v>0.67</v>
      </c>
    </row>
    <row r="20" spans="1:12">
      <c r="A20" t="s">
        <v>1472</v>
      </c>
      <c r="C20" t="s">
        <v>1478</v>
      </c>
      <c r="G20">
        <v>1918</v>
      </c>
      <c r="H20">
        <v>18</v>
      </c>
      <c r="I20" s="63">
        <v>0.68</v>
      </c>
    </row>
    <row r="21" spans="1:12">
      <c r="A21" t="s">
        <v>1472</v>
      </c>
      <c r="C21" t="s">
        <v>1480</v>
      </c>
      <c r="G21">
        <v>1919</v>
      </c>
      <c r="H21">
        <v>19</v>
      </c>
      <c r="I21" s="63">
        <v>0.69</v>
      </c>
    </row>
    <row r="22" spans="1:12">
      <c r="A22" t="s">
        <v>1472</v>
      </c>
      <c r="C22" t="s">
        <v>1481</v>
      </c>
      <c r="G22">
        <v>1920</v>
      </c>
      <c r="H22">
        <v>20</v>
      </c>
      <c r="I22" s="63">
        <v>0.7</v>
      </c>
    </row>
    <row r="23" spans="1:12">
      <c r="A23" t="s">
        <v>1472</v>
      </c>
      <c r="C23" t="s">
        <v>1482</v>
      </c>
      <c r="G23">
        <v>1921</v>
      </c>
      <c r="H23">
        <v>21</v>
      </c>
      <c r="I23" s="63">
        <v>0.71</v>
      </c>
    </row>
    <row r="24" spans="1:12">
      <c r="A24" t="s">
        <v>1472</v>
      </c>
      <c r="C24" t="s">
        <v>1484</v>
      </c>
      <c r="G24">
        <v>1922</v>
      </c>
      <c r="H24">
        <v>22</v>
      </c>
      <c r="I24" s="63">
        <v>0.72</v>
      </c>
    </row>
    <row r="25" spans="1:12">
      <c r="A25" t="s">
        <v>1472</v>
      </c>
      <c r="C25" t="s">
        <v>1581</v>
      </c>
      <c r="G25">
        <v>1923</v>
      </c>
      <c r="H25">
        <v>23</v>
      </c>
      <c r="I25" s="63">
        <v>0.73</v>
      </c>
    </row>
    <row r="26" spans="1:12">
      <c r="A26" t="s">
        <v>1472</v>
      </c>
      <c r="C26" t="s">
        <v>2417</v>
      </c>
      <c r="G26">
        <v>1924</v>
      </c>
      <c r="H26">
        <v>24</v>
      </c>
      <c r="I26" s="63">
        <v>0.74</v>
      </c>
    </row>
    <row r="27" spans="1:12">
      <c r="A27" t="s">
        <v>1472</v>
      </c>
      <c r="C27" t="s">
        <v>121</v>
      </c>
      <c r="G27">
        <v>1925</v>
      </c>
      <c r="H27">
        <v>25</v>
      </c>
      <c r="I27" s="63">
        <v>0.75</v>
      </c>
    </row>
    <row r="28" spans="1:12">
      <c r="A28" t="s">
        <v>1472</v>
      </c>
      <c r="C28" t="s">
        <v>1486</v>
      </c>
      <c r="G28">
        <v>1926</v>
      </c>
      <c r="H28">
        <v>26</v>
      </c>
      <c r="I28" s="63">
        <v>0.76</v>
      </c>
    </row>
    <row r="29" spans="1:12">
      <c r="A29" t="s">
        <v>1472</v>
      </c>
      <c r="C29" t="s">
        <v>1487</v>
      </c>
      <c r="G29">
        <v>1927</v>
      </c>
      <c r="H29">
        <v>27</v>
      </c>
      <c r="I29" s="63">
        <v>0.77</v>
      </c>
    </row>
    <row r="30" spans="1:12">
      <c r="A30" t="s">
        <v>1472</v>
      </c>
      <c r="C30" t="s">
        <v>2418</v>
      </c>
      <c r="G30">
        <v>1928</v>
      </c>
      <c r="H30">
        <v>28</v>
      </c>
      <c r="I30" s="63">
        <v>0.78</v>
      </c>
    </row>
    <row r="31" spans="1:12">
      <c r="A31" t="s">
        <v>1472</v>
      </c>
      <c r="C31" t="s">
        <v>2419</v>
      </c>
      <c r="G31">
        <v>1929</v>
      </c>
      <c r="H31">
        <v>29</v>
      </c>
      <c r="I31" s="63">
        <v>0.79</v>
      </c>
    </row>
    <row r="32" spans="1:12">
      <c r="A32" t="s">
        <v>1472</v>
      </c>
      <c r="C32" t="s">
        <v>1489</v>
      </c>
      <c r="G32">
        <v>1930</v>
      </c>
      <c r="H32">
        <v>30</v>
      </c>
      <c r="I32" s="63">
        <v>0.8</v>
      </c>
    </row>
    <row r="33" spans="1:9">
      <c r="A33" t="s">
        <v>1472</v>
      </c>
      <c r="C33" t="s">
        <v>2420</v>
      </c>
      <c r="G33">
        <v>1931</v>
      </c>
      <c r="H33">
        <v>31</v>
      </c>
      <c r="I33" s="63">
        <v>0.81</v>
      </c>
    </row>
    <row r="34" spans="1:9">
      <c r="A34" t="s">
        <v>1472</v>
      </c>
      <c r="C34" t="s">
        <v>2421</v>
      </c>
      <c r="G34">
        <v>1932</v>
      </c>
      <c r="H34">
        <v>32</v>
      </c>
      <c r="I34" s="63">
        <v>0.82</v>
      </c>
    </row>
    <row r="35" spans="1:9">
      <c r="A35" t="s">
        <v>1472</v>
      </c>
      <c r="C35" t="s">
        <v>2422</v>
      </c>
      <c r="G35">
        <v>1933</v>
      </c>
      <c r="H35">
        <v>33</v>
      </c>
      <c r="I35" s="63">
        <v>0.83</v>
      </c>
    </row>
    <row r="36" spans="1:9">
      <c r="A36" t="s">
        <v>1472</v>
      </c>
      <c r="C36" t="s">
        <v>2423</v>
      </c>
      <c r="G36">
        <v>1934</v>
      </c>
      <c r="H36">
        <v>34</v>
      </c>
      <c r="I36" s="63">
        <v>0.84</v>
      </c>
    </row>
    <row r="37" spans="1:9">
      <c r="A37" t="s">
        <v>1472</v>
      </c>
      <c r="C37" t="s">
        <v>2425</v>
      </c>
      <c r="G37">
        <v>1935</v>
      </c>
      <c r="H37">
        <v>35</v>
      </c>
      <c r="I37" s="63">
        <v>0.85</v>
      </c>
    </row>
    <row r="38" spans="1:9">
      <c r="A38" t="s">
        <v>1472</v>
      </c>
      <c r="C38" t="s">
        <v>2426</v>
      </c>
      <c r="G38">
        <v>1936</v>
      </c>
      <c r="H38">
        <v>36</v>
      </c>
      <c r="I38" s="63">
        <v>0.86</v>
      </c>
    </row>
    <row r="39" spans="1:9">
      <c r="A39" t="s">
        <v>1472</v>
      </c>
      <c r="C39" t="s">
        <v>2427</v>
      </c>
      <c r="G39">
        <v>1937</v>
      </c>
      <c r="H39">
        <v>37</v>
      </c>
      <c r="I39" s="63">
        <v>0.87</v>
      </c>
    </row>
    <row r="40" spans="1:9">
      <c r="A40" t="s">
        <v>1472</v>
      </c>
      <c r="C40" t="s">
        <v>2428</v>
      </c>
      <c r="G40">
        <v>1938</v>
      </c>
      <c r="H40">
        <v>38</v>
      </c>
      <c r="I40" s="63">
        <v>0.88</v>
      </c>
    </row>
    <row r="41" spans="1:9">
      <c r="A41" t="s">
        <v>1472</v>
      </c>
      <c r="C41" t="s">
        <v>1534</v>
      </c>
      <c r="G41">
        <v>1939</v>
      </c>
      <c r="H41">
        <v>39</v>
      </c>
      <c r="I41" s="63">
        <v>0.89</v>
      </c>
    </row>
    <row r="42" spans="1:9" ht="15">
      <c r="A42" t="s">
        <v>17</v>
      </c>
      <c r="B42" s="79" t="s">
        <v>2429</v>
      </c>
      <c r="C42" t="s">
        <v>74</v>
      </c>
      <c r="G42">
        <v>1940</v>
      </c>
      <c r="H42">
        <v>40</v>
      </c>
      <c r="I42" s="63">
        <v>0.9</v>
      </c>
    </row>
    <row r="43" spans="1:9" ht="15">
      <c r="A43" t="s">
        <v>17</v>
      </c>
      <c r="B43" s="79" t="s">
        <v>2431</v>
      </c>
      <c r="C43" t="s">
        <v>1538</v>
      </c>
      <c r="G43">
        <v>1941</v>
      </c>
      <c r="H43">
        <v>41</v>
      </c>
      <c r="I43" s="63">
        <v>0.91</v>
      </c>
    </row>
    <row r="44" spans="1:9" ht="15">
      <c r="A44" t="s">
        <v>17</v>
      </c>
      <c r="B44" s="79" t="s">
        <v>2436</v>
      </c>
      <c r="C44" t="s">
        <v>2430</v>
      </c>
      <c r="G44">
        <v>1942</v>
      </c>
      <c r="H44">
        <v>42</v>
      </c>
      <c r="I44" s="63">
        <v>0.92</v>
      </c>
    </row>
    <row r="45" spans="1:9" ht="15">
      <c r="A45" t="s">
        <v>17</v>
      </c>
      <c r="B45" s="79" t="s">
        <v>52</v>
      </c>
      <c r="C45" t="s">
        <v>2432</v>
      </c>
      <c r="G45">
        <v>1943</v>
      </c>
      <c r="H45">
        <v>43</v>
      </c>
      <c r="I45" s="63">
        <v>0.93</v>
      </c>
    </row>
    <row r="46" spans="1:9" ht="15">
      <c r="A46" t="s">
        <v>17</v>
      </c>
      <c r="B46" s="79" t="s">
        <v>2440</v>
      </c>
      <c r="C46" t="s">
        <v>2433</v>
      </c>
      <c r="G46">
        <v>1944</v>
      </c>
      <c r="H46">
        <v>44</v>
      </c>
      <c r="I46" s="63">
        <v>0.94</v>
      </c>
    </row>
    <row r="47" spans="1:9" ht="15">
      <c r="A47" t="s">
        <v>17</v>
      </c>
      <c r="B47" s="79" t="s">
        <v>1488</v>
      </c>
      <c r="C47" t="s">
        <v>2434</v>
      </c>
      <c r="G47">
        <v>1945</v>
      </c>
      <c r="H47">
        <v>45</v>
      </c>
      <c r="I47" s="63">
        <v>0.95</v>
      </c>
    </row>
    <row r="48" spans="1:9" ht="15">
      <c r="A48" t="s">
        <v>17</v>
      </c>
      <c r="B48" s="79" t="s">
        <v>82</v>
      </c>
      <c r="C48" t="s">
        <v>2435</v>
      </c>
      <c r="G48">
        <v>1946</v>
      </c>
      <c r="H48">
        <v>46</v>
      </c>
      <c r="I48" s="63">
        <v>0.96</v>
      </c>
    </row>
    <row r="49" spans="1:9" ht="15">
      <c r="A49" t="s">
        <v>17</v>
      </c>
      <c r="B49" s="79" t="s">
        <v>2445</v>
      </c>
      <c r="C49" t="s">
        <v>1539</v>
      </c>
      <c r="G49">
        <v>1947</v>
      </c>
      <c r="H49">
        <v>47</v>
      </c>
      <c r="I49" s="63">
        <v>0.97</v>
      </c>
    </row>
    <row r="50" spans="1:9" ht="15">
      <c r="A50" t="s">
        <v>17</v>
      </c>
      <c r="B50" s="79" t="s">
        <v>91</v>
      </c>
      <c r="C50" t="s">
        <v>2437</v>
      </c>
      <c r="G50">
        <v>1948</v>
      </c>
      <c r="H50">
        <v>48</v>
      </c>
      <c r="I50" s="63">
        <v>0.98</v>
      </c>
    </row>
    <row r="51" spans="1:9">
      <c r="A51" t="s">
        <v>17</v>
      </c>
      <c r="C51" t="s">
        <v>1540</v>
      </c>
      <c r="G51">
        <v>1949</v>
      </c>
      <c r="H51">
        <v>49</v>
      </c>
      <c r="I51" s="63">
        <v>0.99</v>
      </c>
    </row>
    <row r="52" spans="1:9">
      <c r="A52" t="s">
        <v>17</v>
      </c>
      <c r="C52" t="s">
        <v>2438</v>
      </c>
      <c r="G52">
        <v>1950</v>
      </c>
      <c r="H52">
        <v>50</v>
      </c>
      <c r="I52" s="63">
        <v>1</v>
      </c>
    </row>
    <row r="53" spans="1:9">
      <c r="A53" t="s">
        <v>17</v>
      </c>
      <c r="C53" t="s">
        <v>2439</v>
      </c>
      <c r="G53">
        <v>1951</v>
      </c>
      <c r="H53">
        <v>51</v>
      </c>
    </row>
    <row r="54" spans="1:9">
      <c r="A54" t="s">
        <v>17</v>
      </c>
      <c r="C54" t="s">
        <v>2441</v>
      </c>
      <c r="G54">
        <v>1952</v>
      </c>
      <c r="H54">
        <v>52</v>
      </c>
    </row>
    <row r="55" spans="1:9">
      <c r="A55" t="s">
        <v>17</v>
      </c>
      <c r="C55" t="s">
        <v>2442</v>
      </c>
      <c r="G55">
        <v>1953</v>
      </c>
      <c r="H55">
        <v>53</v>
      </c>
    </row>
    <row r="56" spans="1:9">
      <c r="A56" t="s">
        <v>17</v>
      </c>
      <c r="C56" t="s">
        <v>2443</v>
      </c>
      <c r="G56">
        <v>1954</v>
      </c>
      <c r="H56">
        <v>54</v>
      </c>
    </row>
    <row r="57" spans="1:9">
      <c r="A57" t="s">
        <v>17</v>
      </c>
      <c r="C57" t="s">
        <v>2444</v>
      </c>
      <c r="G57">
        <v>1955</v>
      </c>
      <c r="H57">
        <v>55</v>
      </c>
    </row>
    <row r="58" spans="1:9">
      <c r="A58" t="s">
        <v>17</v>
      </c>
      <c r="C58" t="s">
        <v>2446</v>
      </c>
      <c r="G58">
        <v>1956</v>
      </c>
      <c r="H58">
        <v>56</v>
      </c>
    </row>
    <row r="59" spans="1:9">
      <c r="A59" t="s">
        <v>17</v>
      </c>
      <c r="C59" t="s">
        <v>2447</v>
      </c>
      <c r="G59">
        <v>1957</v>
      </c>
      <c r="H59">
        <v>57</v>
      </c>
    </row>
    <row r="60" spans="1:9">
      <c r="A60" t="s">
        <v>17</v>
      </c>
      <c r="C60" t="s">
        <v>2448</v>
      </c>
      <c r="G60">
        <v>1958</v>
      </c>
      <c r="H60">
        <v>58</v>
      </c>
    </row>
    <row r="61" spans="1:9" ht="15">
      <c r="A61" t="s">
        <v>2449</v>
      </c>
      <c r="B61" s="79" t="s">
        <v>2450</v>
      </c>
      <c r="C61" t="s">
        <v>2451</v>
      </c>
      <c r="G61">
        <v>1959</v>
      </c>
      <c r="H61">
        <v>59</v>
      </c>
    </row>
    <row r="62" spans="1:9" ht="15">
      <c r="A62" t="s">
        <v>2449</v>
      </c>
      <c r="B62" s="79" t="s">
        <v>2453</v>
      </c>
      <c r="C62" t="s">
        <v>2452</v>
      </c>
      <c r="G62">
        <v>1960</v>
      </c>
      <c r="H62">
        <v>60</v>
      </c>
    </row>
    <row r="63" spans="1:9" ht="15">
      <c r="A63" t="s">
        <v>2449</v>
      </c>
      <c r="B63" s="79" t="s">
        <v>1525</v>
      </c>
      <c r="C63" t="s">
        <v>1537</v>
      </c>
      <c r="G63">
        <v>1961</v>
      </c>
      <c r="H63">
        <v>61</v>
      </c>
    </row>
    <row r="64" spans="1:9" ht="15">
      <c r="A64" t="s">
        <v>2449</v>
      </c>
      <c r="B64" s="79" t="s">
        <v>107</v>
      </c>
      <c r="C64" t="s">
        <v>2454</v>
      </c>
      <c r="G64">
        <v>1962</v>
      </c>
      <c r="H64">
        <v>62</v>
      </c>
    </row>
    <row r="65" spans="1:8" ht="15">
      <c r="A65" t="s">
        <v>2449</v>
      </c>
      <c r="B65" s="79" t="s">
        <v>2457</v>
      </c>
      <c r="C65" t="s">
        <v>2455</v>
      </c>
      <c r="G65">
        <v>1963</v>
      </c>
      <c r="H65">
        <v>63</v>
      </c>
    </row>
    <row r="66" spans="1:8">
      <c r="A66" t="s">
        <v>2449</v>
      </c>
      <c r="C66" t="s">
        <v>2456</v>
      </c>
      <c r="G66">
        <v>1964</v>
      </c>
      <c r="H66">
        <v>64</v>
      </c>
    </row>
    <row r="67" spans="1:8">
      <c r="A67" t="s">
        <v>2449</v>
      </c>
      <c r="C67" t="s">
        <v>2458</v>
      </c>
      <c r="G67">
        <v>1965</v>
      </c>
      <c r="H67">
        <v>65</v>
      </c>
    </row>
    <row r="68" spans="1:8" ht="15">
      <c r="A68" t="s">
        <v>33</v>
      </c>
      <c r="B68" s="79" t="s">
        <v>18</v>
      </c>
      <c r="C68" t="s">
        <v>19</v>
      </c>
      <c r="G68">
        <v>1966</v>
      </c>
      <c r="H68">
        <v>66</v>
      </c>
    </row>
    <row r="69" spans="1:8" ht="15">
      <c r="A69" t="s">
        <v>33</v>
      </c>
      <c r="B69" s="79" t="s">
        <v>1541</v>
      </c>
      <c r="C69" t="s">
        <v>34</v>
      </c>
      <c r="G69">
        <v>1967</v>
      </c>
      <c r="H69">
        <v>67</v>
      </c>
    </row>
    <row r="70" spans="1:8" ht="15">
      <c r="A70" t="s">
        <v>33</v>
      </c>
      <c r="B70" s="79" t="s">
        <v>1544</v>
      </c>
      <c r="C70" t="s">
        <v>2459</v>
      </c>
      <c r="G70">
        <v>1968</v>
      </c>
      <c r="H70">
        <v>68</v>
      </c>
    </row>
    <row r="71" spans="1:8" ht="15">
      <c r="A71" t="s">
        <v>33</v>
      </c>
      <c r="B71" s="79" t="s">
        <v>1567</v>
      </c>
      <c r="C71" t="s">
        <v>1542</v>
      </c>
      <c r="G71">
        <v>1969</v>
      </c>
      <c r="H71">
        <v>69</v>
      </c>
    </row>
    <row r="72" spans="1:8" ht="15">
      <c r="A72" t="s">
        <v>33</v>
      </c>
      <c r="B72" s="79" t="s">
        <v>1545</v>
      </c>
      <c r="C72" t="s">
        <v>1543</v>
      </c>
      <c r="G72">
        <v>1970</v>
      </c>
      <c r="H72">
        <v>70</v>
      </c>
    </row>
    <row r="73" spans="1:8" ht="15">
      <c r="A73" t="s">
        <v>33</v>
      </c>
      <c r="B73" s="79" t="s">
        <v>2464</v>
      </c>
      <c r="C73" t="s">
        <v>124</v>
      </c>
      <c r="G73">
        <v>1971</v>
      </c>
      <c r="H73">
        <v>71</v>
      </c>
    </row>
    <row r="74" spans="1:8" ht="15">
      <c r="A74" t="s">
        <v>33</v>
      </c>
      <c r="B74" s="79" t="s">
        <v>104</v>
      </c>
      <c r="C74" t="s">
        <v>2460</v>
      </c>
      <c r="G74">
        <v>1972</v>
      </c>
      <c r="H74">
        <v>72</v>
      </c>
    </row>
    <row r="75" spans="1:8" ht="15">
      <c r="A75" t="s">
        <v>33</v>
      </c>
      <c r="B75" s="79" t="s">
        <v>2465</v>
      </c>
      <c r="C75" t="s">
        <v>75</v>
      </c>
      <c r="G75">
        <v>1973</v>
      </c>
      <c r="H75">
        <v>73</v>
      </c>
    </row>
    <row r="76" spans="1:8">
      <c r="A76" t="s">
        <v>33</v>
      </c>
      <c r="C76" t="s">
        <v>2461</v>
      </c>
      <c r="G76">
        <v>1974</v>
      </c>
      <c r="H76">
        <v>74</v>
      </c>
    </row>
    <row r="77" spans="1:8">
      <c r="A77" t="s">
        <v>33</v>
      </c>
      <c r="C77" t="s">
        <v>2462</v>
      </c>
      <c r="G77">
        <v>1975</v>
      </c>
      <c r="H77">
        <v>75</v>
      </c>
    </row>
    <row r="78" spans="1:8">
      <c r="A78" t="s">
        <v>33</v>
      </c>
      <c r="C78" t="s">
        <v>84</v>
      </c>
      <c r="G78">
        <v>1976</v>
      </c>
      <c r="H78">
        <v>76</v>
      </c>
    </row>
    <row r="79" spans="1:8">
      <c r="A79" t="s">
        <v>33</v>
      </c>
      <c r="C79" t="s">
        <v>94</v>
      </c>
      <c r="G79">
        <v>1977</v>
      </c>
      <c r="H79">
        <v>77</v>
      </c>
    </row>
    <row r="80" spans="1:8">
      <c r="A80" t="s">
        <v>33</v>
      </c>
      <c r="C80" t="s">
        <v>2463</v>
      </c>
      <c r="G80">
        <v>1978</v>
      </c>
      <c r="H80">
        <v>78</v>
      </c>
    </row>
    <row r="81" spans="1:8">
      <c r="A81" t="s">
        <v>33</v>
      </c>
      <c r="C81" t="s">
        <v>110</v>
      </c>
      <c r="G81">
        <v>1979</v>
      </c>
      <c r="H81">
        <v>79</v>
      </c>
    </row>
    <row r="82" spans="1:8">
      <c r="A82" t="s">
        <v>33</v>
      </c>
      <c r="C82" t="s">
        <v>128</v>
      </c>
      <c r="G82">
        <v>1980</v>
      </c>
      <c r="H82">
        <v>80</v>
      </c>
    </row>
    <row r="83" spans="1:8">
      <c r="A83" t="s">
        <v>33</v>
      </c>
      <c r="C83" t="s">
        <v>127</v>
      </c>
      <c r="G83">
        <v>1981</v>
      </c>
      <c r="H83">
        <v>81</v>
      </c>
    </row>
    <row r="84" spans="1:8">
      <c r="A84" t="s">
        <v>33</v>
      </c>
      <c r="C84" t="s">
        <v>1511</v>
      </c>
      <c r="G84">
        <v>1982</v>
      </c>
      <c r="H84">
        <v>82</v>
      </c>
    </row>
    <row r="85" spans="1:8">
      <c r="A85" t="s">
        <v>33</v>
      </c>
      <c r="C85" t="s">
        <v>1547</v>
      </c>
      <c r="G85">
        <v>1983</v>
      </c>
      <c r="H85">
        <v>83</v>
      </c>
    </row>
    <row r="86" spans="1:8">
      <c r="A86" t="s">
        <v>33</v>
      </c>
      <c r="C86" t="s">
        <v>1548</v>
      </c>
      <c r="G86">
        <v>1984</v>
      </c>
      <c r="H86">
        <v>84</v>
      </c>
    </row>
    <row r="87" spans="1:8">
      <c r="A87" t="s">
        <v>33</v>
      </c>
      <c r="C87" t="s">
        <v>1546</v>
      </c>
      <c r="G87">
        <v>1985</v>
      </c>
      <c r="H87">
        <v>85</v>
      </c>
    </row>
    <row r="88" spans="1:8" ht="15">
      <c r="A88" t="s">
        <v>48</v>
      </c>
      <c r="B88" s="79" t="s">
        <v>2466</v>
      </c>
      <c r="C88" t="s">
        <v>2467</v>
      </c>
      <c r="G88">
        <v>1986</v>
      </c>
      <c r="H88">
        <v>86</v>
      </c>
    </row>
    <row r="89" spans="1:8" ht="15">
      <c r="A89" t="s">
        <v>48</v>
      </c>
      <c r="B89" s="79" t="s">
        <v>1525</v>
      </c>
      <c r="C89" t="s">
        <v>36</v>
      </c>
      <c r="G89">
        <v>1987</v>
      </c>
      <c r="H89">
        <v>87</v>
      </c>
    </row>
    <row r="90" spans="1:8" ht="15">
      <c r="A90" t="s">
        <v>48</v>
      </c>
      <c r="B90" s="79" t="s">
        <v>98</v>
      </c>
      <c r="C90" t="s">
        <v>1549</v>
      </c>
      <c r="G90">
        <v>1988</v>
      </c>
      <c r="H90">
        <v>88</v>
      </c>
    </row>
    <row r="91" spans="1:8" ht="15">
      <c r="A91" t="s">
        <v>48</v>
      </c>
      <c r="B91" s="79" t="s">
        <v>49</v>
      </c>
      <c r="C91" t="s">
        <v>2468</v>
      </c>
      <c r="G91">
        <v>1989</v>
      </c>
      <c r="H91">
        <v>89</v>
      </c>
    </row>
    <row r="92" spans="1:8" ht="15">
      <c r="A92" t="s">
        <v>48</v>
      </c>
      <c r="B92" s="79" t="s">
        <v>35</v>
      </c>
      <c r="C92" t="s">
        <v>1552</v>
      </c>
      <c r="G92">
        <v>1990</v>
      </c>
      <c r="H92">
        <v>90</v>
      </c>
    </row>
    <row r="93" spans="1:8" ht="15">
      <c r="A93" t="s">
        <v>48</v>
      </c>
      <c r="B93" s="79" t="s">
        <v>93</v>
      </c>
      <c r="C93" t="s">
        <v>1553</v>
      </c>
      <c r="G93">
        <v>1991</v>
      </c>
      <c r="H93">
        <v>91</v>
      </c>
    </row>
    <row r="94" spans="1:8" ht="15">
      <c r="A94" t="s">
        <v>48</v>
      </c>
      <c r="B94" s="79" t="s">
        <v>2470</v>
      </c>
      <c r="C94" t="s">
        <v>1554</v>
      </c>
      <c r="G94">
        <v>1992</v>
      </c>
      <c r="H94">
        <v>92</v>
      </c>
    </row>
    <row r="95" spans="1:8" ht="15">
      <c r="A95" t="s">
        <v>48</v>
      </c>
      <c r="B95" s="79" t="s">
        <v>2471</v>
      </c>
      <c r="C95" t="s">
        <v>1555</v>
      </c>
      <c r="G95">
        <v>1993</v>
      </c>
      <c r="H95">
        <v>93</v>
      </c>
    </row>
    <row r="96" spans="1:8" ht="15">
      <c r="A96" t="s">
        <v>48</v>
      </c>
      <c r="B96" s="79" t="s">
        <v>111</v>
      </c>
      <c r="C96" t="s">
        <v>117</v>
      </c>
      <c r="G96">
        <v>1994</v>
      </c>
      <c r="H96">
        <v>94</v>
      </c>
    </row>
    <row r="97" spans="1:8">
      <c r="A97" t="s">
        <v>48</v>
      </c>
      <c r="C97" t="s">
        <v>112</v>
      </c>
      <c r="G97">
        <v>1995</v>
      </c>
      <c r="H97">
        <v>95</v>
      </c>
    </row>
    <row r="98" spans="1:8">
      <c r="A98" t="s">
        <v>48</v>
      </c>
      <c r="C98" t="s">
        <v>1550</v>
      </c>
      <c r="G98">
        <v>1996</v>
      </c>
      <c r="H98">
        <v>96</v>
      </c>
    </row>
    <row r="99" spans="1:8">
      <c r="A99" t="s">
        <v>48</v>
      </c>
      <c r="C99" t="s">
        <v>1551</v>
      </c>
      <c r="G99">
        <v>1997</v>
      </c>
      <c r="H99">
        <v>97</v>
      </c>
    </row>
    <row r="100" spans="1:8">
      <c r="A100" t="s">
        <v>48</v>
      </c>
      <c r="C100" t="s">
        <v>2469</v>
      </c>
      <c r="G100">
        <v>1998</v>
      </c>
      <c r="H100">
        <v>98</v>
      </c>
    </row>
    <row r="101" spans="1:8">
      <c r="A101" t="s">
        <v>48</v>
      </c>
      <c r="C101" t="s">
        <v>99</v>
      </c>
      <c r="G101">
        <v>1999</v>
      </c>
      <c r="H101">
        <v>99</v>
      </c>
    </row>
    <row r="102" spans="1:8">
      <c r="A102" t="s">
        <v>48</v>
      </c>
      <c r="C102" t="s">
        <v>129</v>
      </c>
      <c r="G102">
        <v>2000</v>
      </c>
      <c r="H102">
        <v>100</v>
      </c>
    </row>
    <row r="103" spans="1:8">
      <c r="A103" t="s">
        <v>48</v>
      </c>
      <c r="C103" t="s">
        <v>1556</v>
      </c>
      <c r="G103">
        <v>2001</v>
      </c>
      <c r="H103">
        <v>101</v>
      </c>
    </row>
    <row r="104" spans="1:8">
      <c r="A104" t="s">
        <v>48</v>
      </c>
      <c r="C104" t="s">
        <v>2472</v>
      </c>
      <c r="G104">
        <v>2002</v>
      </c>
      <c r="H104">
        <v>102</v>
      </c>
    </row>
    <row r="105" spans="1:8">
      <c r="A105" t="s">
        <v>48</v>
      </c>
      <c r="C105" t="s">
        <v>1557</v>
      </c>
      <c r="G105">
        <v>2003</v>
      </c>
      <c r="H105">
        <v>103</v>
      </c>
    </row>
    <row r="106" spans="1:8">
      <c r="A106" t="s">
        <v>48</v>
      </c>
      <c r="C106" t="s">
        <v>125</v>
      </c>
      <c r="G106">
        <v>2004</v>
      </c>
      <c r="H106">
        <v>104</v>
      </c>
    </row>
    <row r="107" spans="1:8">
      <c r="A107" t="s">
        <v>1524</v>
      </c>
      <c r="B107" t="s">
        <v>1525</v>
      </c>
      <c r="C107" t="s">
        <v>1526</v>
      </c>
      <c r="G107">
        <v>2005</v>
      </c>
      <c r="H107">
        <v>105</v>
      </c>
    </row>
    <row r="108" spans="1:8">
      <c r="A108" t="s">
        <v>1524</v>
      </c>
      <c r="B108" t="s">
        <v>1528</v>
      </c>
      <c r="C108" t="s">
        <v>1527</v>
      </c>
      <c r="G108">
        <v>2006</v>
      </c>
      <c r="H108">
        <v>106</v>
      </c>
    </row>
    <row r="109" spans="1:8">
      <c r="A109" t="s">
        <v>1524</v>
      </c>
      <c r="B109" t="s">
        <v>1531</v>
      </c>
      <c r="C109" t="s">
        <v>1552</v>
      </c>
      <c r="G109">
        <v>2007</v>
      </c>
      <c r="H109">
        <v>107</v>
      </c>
    </row>
    <row r="110" spans="1:8">
      <c r="A110" t="s">
        <v>1524</v>
      </c>
      <c r="C110" t="s">
        <v>1529</v>
      </c>
      <c r="G110">
        <v>2008</v>
      </c>
      <c r="H110">
        <v>108</v>
      </c>
    </row>
    <row r="111" spans="1:8">
      <c r="A111" t="s">
        <v>1524</v>
      </c>
      <c r="C111" t="s">
        <v>1530</v>
      </c>
      <c r="G111">
        <v>2009</v>
      </c>
      <c r="H111">
        <v>109</v>
      </c>
    </row>
    <row r="112" spans="1:8">
      <c r="A112" t="s">
        <v>1524</v>
      </c>
      <c r="C112" t="s">
        <v>2473</v>
      </c>
      <c r="G112">
        <v>2010</v>
      </c>
      <c r="H112">
        <v>110</v>
      </c>
    </row>
    <row r="113" spans="1:8">
      <c r="A113" t="s">
        <v>1524</v>
      </c>
      <c r="C113" t="s">
        <v>1532</v>
      </c>
      <c r="G113">
        <v>2011</v>
      </c>
      <c r="H113">
        <v>111</v>
      </c>
    </row>
    <row r="114" spans="1:8">
      <c r="A114" t="s">
        <v>1490</v>
      </c>
      <c r="B114" t="s">
        <v>1491</v>
      </c>
      <c r="C114" t="s">
        <v>2474</v>
      </c>
      <c r="G114">
        <v>2012</v>
      </c>
      <c r="H114">
        <v>112</v>
      </c>
    </row>
    <row r="115" spans="1:8">
      <c r="A115" t="s">
        <v>1490</v>
      </c>
      <c r="B115" t="s">
        <v>1497</v>
      </c>
      <c r="C115" t="s">
        <v>1492</v>
      </c>
      <c r="G115">
        <v>2013</v>
      </c>
      <c r="H115">
        <v>113</v>
      </c>
    </row>
    <row r="116" spans="1:8">
      <c r="A116" t="s">
        <v>1490</v>
      </c>
      <c r="C116" t="s">
        <v>1493</v>
      </c>
      <c r="G116">
        <v>2014</v>
      </c>
      <c r="H116">
        <v>114</v>
      </c>
    </row>
    <row r="117" spans="1:8">
      <c r="A117" t="s">
        <v>1490</v>
      </c>
      <c r="C117" t="s">
        <v>2475</v>
      </c>
      <c r="G117">
        <v>2015</v>
      </c>
      <c r="H117">
        <v>115</v>
      </c>
    </row>
    <row r="118" spans="1:8">
      <c r="A118" t="s">
        <v>1490</v>
      </c>
      <c r="C118" t="s">
        <v>1494</v>
      </c>
      <c r="G118">
        <v>2016</v>
      </c>
      <c r="H118">
        <v>116</v>
      </c>
    </row>
    <row r="119" spans="1:8">
      <c r="A119" t="s">
        <v>1490</v>
      </c>
      <c r="C119" t="s">
        <v>1495</v>
      </c>
      <c r="G119">
        <v>2017</v>
      </c>
      <c r="H119">
        <v>117</v>
      </c>
    </row>
    <row r="120" spans="1:8">
      <c r="A120" t="s">
        <v>1490</v>
      </c>
      <c r="C120" t="s">
        <v>1496</v>
      </c>
      <c r="G120">
        <v>2018</v>
      </c>
      <c r="H120">
        <v>118</v>
      </c>
    </row>
    <row r="121" spans="1:8">
      <c r="A121" t="s">
        <v>1490</v>
      </c>
      <c r="C121" t="s">
        <v>1582</v>
      </c>
      <c r="G121">
        <v>2019</v>
      </c>
      <c r="H121">
        <v>119</v>
      </c>
    </row>
    <row r="122" spans="1:8">
      <c r="A122" t="s">
        <v>1490</v>
      </c>
      <c r="C122" t="s">
        <v>2476</v>
      </c>
      <c r="G122">
        <v>2020</v>
      </c>
      <c r="H122">
        <v>120</v>
      </c>
    </row>
    <row r="123" spans="1:8">
      <c r="A123" t="s">
        <v>1490</v>
      </c>
      <c r="C123" t="s">
        <v>1498</v>
      </c>
      <c r="G123">
        <v>2021</v>
      </c>
      <c r="H123">
        <v>121</v>
      </c>
    </row>
    <row r="124" spans="1:8">
      <c r="A124" t="s">
        <v>1490</v>
      </c>
      <c r="C124" t="s">
        <v>115</v>
      </c>
      <c r="G124">
        <v>2022</v>
      </c>
      <c r="H124">
        <v>122</v>
      </c>
    </row>
    <row r="125" spans="1:8">
      <c r="A125" t="s">
        <v>1490</v>
      </c>
      <c r="C125" t="s">
        <v>1499</v>
      </c>
      <c r="G125">
        <v>2023</v>
      </c>
      <c r="H125">
        <v>123</v>
      </c>
    </row>
    <row r="126" spans="1:8">
      <c r="A126" t="s">
        <v>1490</v>
      </c>
      <c r="C126" t="s">
        <v>1500</v>
      </c>
      <c r="G126">
        <v>2024</v>
      </c>
      <c r="H126">
        <v>124</v>
      </c>
    </row>
    <row r="127" spans="1:8">
      <c r="A127" t="s">
        <v>1501</v>
      </c>
      <c r="B127" t="s">
        <v>1502</v>
      </c>
      <c r="C127" t="s">
        <v>122</v>
      </c>
      <c r="G127">
        <v>2025</v>
      </c>
      <c r="H127">
        <v>125</v>
      </c>
    </row>
    <row r="128" spans="1:8">
      <c r="A128" t="s">
        <v>1501</v>
      </c>
      <c r="B128" t="s">
        <v>1510</v>
      </c>
      <c r="C128" t="s">
        <v>1503</v>
      </c>
      <c r="G128">
        <v>2026</v>
      </c>
      <c r="H128">
        <v>126</v>
      </c>
    </row>
    <row r="129" spans="1:8">
      <c r="A129" t="s">
        <v>1501</v>
      </c>
      <c r="B129" t="s">
        <v>1505</v>
      </c>
      <c r="C129" t="s">
        <v>1504</v>
      </c>
      <c r="G129">
        <v>2027</v>
      </c>
      <c r="H129">
        <v>127</v>
      </c>
    </row>
    <row r="130" spans="1:8">
      <c r="A130" t="s">
        <v>1501</v>
      </c>
      <c r="B130" t="s">
        <v>1507</v>
      </c>
      <c r="C130" t="s">
        <v>2477</v>
      </c>
      <c r="G130">
        <v>2028</v>
      </c>
      <c r="H130">
        <v>128</v>
      </c>
    </row>
    <row r="131" spans="1:8">
      <c r="A131" t="s">
        <v>1501</v>
      </c>
      <c r="B131" t="s">
        <v>1512</v>
      </c>
      <c r="C131" t="s">
        <v>128</v>
      </c>
      <c r="G131">
        <v>2029</v>
      </c>
      <c r="H131">
        <v>129</v>
      </c>
    </row>
    <row r="132" spans="1:8">
      <c r="A132" t="s">
        <v>1501</v>
      </c>
      <c r="B132" t="s">
        <v>101</v>
      </c>
      <c r="C132" t="s">
        <v>127</v>
      </c>
      <c r="G132">
        <v>2030</v>
      </c>
      <c r="H132">
        <v>130</v>
      </c>
    </row>
    <row r="133" spans="1:8">
      <c r="A133" t="s">
        <v>1501</v>
      </c>
      <c r="C133" t="s">
        <v>1511</v>
      </c>
      <c r="G133">
        <v>2031</v>
      </c>
      <c r="H133">
        <v>131</v>
      </c>
    </row>
    <row r="134" spans="1:8">
      <c r="A134" t="s">
        <v>1501</v>
      </c>
      <c r="C134" t="s">
        <v>2478</v>
      </c>
      <c r="G134">
        <v>2032</v>
      </c>
      <c r="H134">
        <v>132</v>
      </c>
    </row>
    <row r="135" spans="1:8">
      <c r="A135" t="s">
        <v>1501</v>
      </c>
      <c r="C135" t="s">
        <v>1506</v>
      </c>
      <c r="G135">
        <v>2033</v>
      </c>
      <c r="H135">
        <v>133</v>
      </c>
    </row>
    <row r="136" spans="1:8">
      <c r="A136" t="s">
        <v>1501</v>
      </c>
      <c r="C136" t="s">
        <v>1508</v>
      </c>
      <c r="G136">
        <v>2034</v>
      </c>
      <c r="H136">
        <v>134</v>
      </c>
    </row>
    <row r="137" spans="1:8">
      <c r="A137" t="s">
        <v>1501</v>
      </c>
      <c r="C137" t="s">
        <v>1509</v>
      </c>
      <c r="G137">
        <v>2035</v>
      </c>
      <c r="H137">
        <v>135</v>
      </c>
    </row>
    <row r="138" spans="1:8">
      <c r="A138" t="s">
        <v>1501</v>
      </c>
      <c r="C138" t="s">
        <v>1513</v>
      </c>
      <c r="G138">
        <v>2036</v>
      </c>
      <c r="H138">
        <v>136</v>
      </c>
    </row>
    <row r="139" spans="1:8">
      <c r="A139" t="s">
        <v>1501</v>
      </c>
      <c r="C139" t="s">
        <v>1514</v>
      </c>
      <c r="G139">
        <v>2037</v>
      </c>
      <c r="H139">
        <v>137</v>
      </c>
    </row>
    <row r="140" spans="1:8">
      <c r="A140" t="s">
        <v>1501</v>
      </c>
      <c r="C140" t="s">
        <v>1515</v>
      </c>
      <c r="G140">
        <v>2038</v>
      </c>
      <c r="H140">
        <v>138</v>
      </c>
    </row>
    <row r="141" spans="1:8">
      <c r="A141" t="s">
        <v>1501</v>
      </c>
      <c r="C141" t="s">
        <v>2479</v>
      </c>
      <c r="G141">
        <v>2039</v>
      </c>
      <c r="H141">
        <v>139</v>
      </c>
    </row>
    <row r="142" spans="1:8">
      <c r="A142" t="s">
        <v>1501</v>
      </c>
      <c r="C142" t="s">
        <v>1516</v>
      </c>
      <c r="G142">
        <v>2040</v>
      </c>
      <c r="H142">
        <v>140</v>
      </c>
    </row>
    <row r="143" spans="1:8">
      <c r="A143" t="s">
        <v>1501</v>
      </c>
      <c r="C143" t="s">
        <v>1583</v>
      </c>
      <c r="G143">
        <v>2041</v>
      </c>
      <c r="H143">
        <v>141</v>
      </c>
    </row>
    <row r="144" spans="1:8">
      <c r="A144" t="s">
        <v>1501</v>
      </c>
      <c r="C144" t="s">
        <v>1584</v>
      </c>
      <c r="G144">
        <v>2042</v>
      </c>
      <c r="H144">
        <v>142</v>
      </c>
    </row>
    <row r="145" spans="1:8" ht="15">
      <c r="A145" t="s">
        <v>1517</v>
      </c>
      <c r="B145" s="79" t="s">
        <v>1603</v>
      </c>
      <c r="C145" t="s">
        <v>1604</v>
      </c>
      <c r="G145">
        <v>2043</v>
      </c>
      <c r="H145">
        <v>143</v>
      </c>
    </row>
    <row r="146" spans="1:8" ht="15">
      <c r="A146" t="s">
        <v>1517</v>
      </c>
      <c r="B146" s="79" t="s">
        <v>2481</v>
      </c>
      <c r="C146" t="s">
        <v>2480</v>
      </c>
      <c r="G146">
        <v>2044</v>
      </c>
      <c r="H146">
        <v>144</v>
      </c>
    </row>
    <row r="147" spans="1:8" ht="15">
      <c r="A147" t="s">
        <v>1517</v>
      </c>
      <c r="B147" s="79" t="s">
        <v>1606</v>
      </c>
      <c r="C147" t="s">
        <v>2482</v>
      </c>
      <c r="G147">
        <v>2045</v>
      </c>
      <c r="H147">
        <v>145</v>
      </c>
    </row>
    <row r="148" spans="1:8" ht="15">
      <c r="A148" t="s">
        <v>1517</v>
      </c>
      <c r="B148" s="79" t="s">
        <v>28</v>
      </c>
      <c r="C148" t="s">
        <v>2483</v>
      </c>
      <c r="G148">
        <v>2046</v>
      </c>
      <c r="H148">
        <v>146</v>
      </c>
    </row>
    <row r="149" spans="1:8" ht="15">
      <c r="A149" t="s">
        <v>1517</v>
      </c>
      <c r="B149" s="79" t="s">
        <v>2484</v>
      </c>
      <c r="C149" t="s">
        <v>1607</v>
      </c>
      <c r="G149">
        <v>2047</v>
      </c>
      <c r="H149">
        <v>147</v>
      </c>
    </row>
    <row r="150" spans="1:8" ht="15">
      <c r="A150" t="s">
        <v>1517</v>
      </c>
      <c r="B150" s="79" t="s">
        <v>2487</v>
      </c>
      <c r="C150" t="s">
        <v>1608</v>
      </c>
      <c r="G150">
        <v>2048</v>
      </c>
      <c r="H150">
        <v>148</v>
      </c>
    </row>
    <row r="151" spans="1:8" ht="15">
      <c r="A151" t="s">
        <v>1517</v>
      </c>
      <c r="B151" s="79" t="s">
        <v>2491</v>
      </c>
      <c r="C151" t="s">
        <v>1609</v>
      </c>
      <c r="G151">
        <v>2049</v>
      </c>
      <c r="H151">
        <v>149</v>
      </c>
    </row>
    <row r="152" spans="1:8" ht="15">
      <c r="A152" t="s">
        <v>1517</v>
      </c>
      <c r="B152" s="79" t="s">
        <v>1605</v>
      </c>
      <c r="C152" t="s">
        <v>1610</v>
      </c>
      <c r="G152">
        <v>2050</v>
      </c>
      <c r="H152">
        <v>150</v>
      </c>
    </row>
    <row r="153" spans="1:8" ht="15">
      <c r="A153" t="s">
        <v>1517</v>
      </c>
      <c r="B153" s="79" t="s">
        <v>1518</v>
      </c>
      <c r="C153" t="s">
        <v>2485</v>
      </c>
      <c r="G153">
        <v>2051</v>
      </c>
      <c r="H153">
        <v>151</v>
      </c>
    </row>
    <row r="154" spans="1:8">
      <c r="A154" t="s">
        <v>1517</v>
      </c>
      <c r="C154" t="s">
        <v>2486</v>
      </c>
      <c r="G154">
        <v>2052</v>
      </c>
      <c r="H154">
        <v>152</v>
      </c>
    </row>
    <row r="155" spans="1:8">
      <c r="A155" t="s">
        <v>1517</v>
      </c>
      <c r="C155" t="s">
        <v>119</v>
      </c>
      <c r="G155">
        <v>2053</v>
      </c>
      <c r="H155">
        <v>153</v>
      </c>
    </row>
    <row r="156" spans="1:8">
      <c r="A156" t="s">
        <v>1517</v>
      </c>
      <c r="C156" t="s">
        <v>2488</v>
      </c>
      <c r="G156">
        <v>2054</v>
      </c>
      <c r="H156">
        <v>154</v>
      </c>
    </row>
    <row r="157" spans="1:8">
      <c r="A157" t="s">
        <v>1517</v>
      </c>
      <c r="C157" t="s">
        <v>2489</v>
      </c>
      <c r="G157">
        <v>2055</v>
      </c>
      <c r="H157">
        <v>155</v>
      </c>
    </row>
    <row r="158" spans="1:8">
      <c r="A158" t="s">
        <v>1517</v>
      </c>
      <c r="C158" t="s">
        <v>2490</v>
      </c>
      <c r="G158">
        <v>2056</v>
      </c>
      <c r="H158">
        <v>156</v>
      </c>
    </row>
    <row r="159" spans="1:8">
      <c r="A159" t="s">
        <v>1517</v>
      </c>
      <c r="C159" t="s">
        <v>2492</v>
      </c>
      <c r="G159">
        <v>2057</v>
      </c>
      <c r="H159">
        <v>157</v>
      </c>
    </row>
    <row r="160" spans="1:8">
      <c r="A160" t="s">
        <v>1517</v>
      </c>
      <c r="C160" t="s">
        <v>2493</v>
      </c>
      <c r="G160">
        <v>2058</v>
      </c>
      <c r="H160">
        <v>158</v>
      </c>
    </row>
    <row r="161" spans="1:8">
      <c r="A161" t="s">
        <v>1517</v>
      </c>
      <c r="C161" t="s">
        <v>2494</v>
      </c>
      <c r="G161">
        <v>2059</v>
      </c>
      <c r="H161">
        <v>159</v>
      </c>
    </row>
    <row r="162" spans="1:8">
      <c r="A162" t="s">
        <v>1517</v>
      </c>
      <c r="C162" t="s">
        <v>2495</v>
      </c>
      <c r="G162">
        <v>2060</v>
      </c>
      <c r="H162">
        <v>160</v>
      </c>
    </row>
    <row r="163" spans="1:8">
      <c r="A163" t="s">
        <v>1517</v>
      </c>
      <c r="C163" t="s">
        <v>2496</v>
      </c>
      <c r="G163">
        <v>2061</v>
      </c>
      <c r="H163">
        <v>161</v>
      </c>
    </row>
    <row r="164" spans="1:8">
      <c r="A164" t="s">
        <v>1517</v>
      </c>
      <c r="C164" t="s">
        <v>1589</v>
      </c>
      <c r="G164">
        <v>2062</v>
      </c>
      <c r="H164">
        <v>162</v>
      </c>
    </row>
    <row r="165" spans="1:8" ht="15">
      <c r="A165" t="s">
        <v>103</v>
      </c>
      <c r="B165" s="79" t="s">
        <v>25</v>
      </c>
      <c r="C165" t="s">
        <v>26</v>
      </c>
      <c r="G165">
        <v>2063</v>
      </c>
      <c r="H165">
        <v>163</v>
      </c>
    </row>
    <row r="166" spans="1:8" ht="15">
      <c r="A166" t="s">
        <v>103</v>
      </c>
      <c r="B166" s="79" t="s">
        <v>40</v>
      </c>
      <c r="C166" t="s">
        <v>1585</v>
      </c>
      <c r="G166">
        <v>2064</v>
      </c>
      <c r="H166">
        <v>164</v>
      </c>
    </row>
    <row r="167" spans="1:8" ht="15">
      <c r="A167" t="s">
        <v>103</v>
      </c>
      <c r="B167" s="79" t="s">
        <v>67</v>
      </c>
      <c r="C167" t="s">
        <v>1586</v>
      </c>
      <c r="G167">
        <v>2065</v>
      </c>
      <c r="H167">
        <v>165</v>
      </c>
    </row>
    <row r="168" spans="1:8" ht="15">
      <c r="A168" t="s">
        <v>103</v>
      </c>
      <c r="B168" s="79" t="s">
        <v>1590</v>
      </c>
      <c r="C168" t="s">
        <v>1587</v>
      </c>
      <c r="G168">
        <v>2066</v>
      </c>
      <c r="H168">
        <v>166</v>
      </c>
    </row>
    <row r="169" spans="1:8" ht="15">
      <c r="A169" t="s">
        <v>103</v>
      </c>
      <c r="B169" s="79" t="s">
        <v>100</v>
      </c>
      <c r="C169" t="s">
        <v>2497</v>
      </c>
      <c r="G169">
        <v>2067</v>
      </c>
      <c r="H169">
        <v>167</v>
      </c>
    </row>
    <row r="170" spans="1:8" ht="15">
      <c r="A170" t="s">
        <v>103</v>
      </c>
      <c r="B170" s="79" t="s">
        <v>89</v>
      </c>
      <c r="C170" t="s">
        <v>53</v>
      </c>
      <c r="G170">
        <v>2068</v>
      </c>
      <c r="H170">
        <v>168</v>
      </c>
    </row>
    <row r="171" spans="1:8">
      <c r="A171" t="s">
        <v>103</v>
      </c>
      <c r="C171" t="s">
        <v>1588</v>
      </c>
      <c r="G171">
        <v>2069</v>
      </c>
      <c r="H171">
        <v>169</v>
      </c>
    </row>
    <row r="172" spans="1:8">
      <c r="A172" t="s">
        <v>103</v>
      </c>
      <c r="C172" t="s">
        <v>2498</v>
      </c>
      <c r="G172">
        <v>2070</v>
      </c>
      <c r="H172">
        <v>170</v>
      </c>
    </row>
    <row r="173" spans="1:8">
      <c r="A173" t="s">
        <v>103</v>
      </c>
      <c r="C173" t="s">
        <v>2499</v>
      </c>
      <c r="G173">
        <v>2071</v>
      </c>
      <c r="H173">
        <v>171</v>
      </c>
    </row>
    <row r="174" spans="1:8">
      <c r="A174" t="s">
        <v>103</v>
      </c>
      <c r="C174" t="s">
        <v>1591</v>
      </c>
      <c r="G174">
        <v>2072</v>
      </c>
      <c r="H174">
        <v>172</v>
      </c>
    </row>
    <row r="175" spans="1:8">
      <c r="A175" t="s">
        <v>103</v>
      </c>
      <c r="C175" t="s">
        <v>1592</v>
      </c>
      <c r="G175">
        <v>2073</v>
      </c>
      <c r="H175">
        <v>173</v>
      </c>
    </row>
    <row r="176" spans="1:8">
      <c r="A176" t="s">
        <v>103</v>
      </c>
      <c r="C176" t="s">
        <v>2500</v>
      </c>
      <c r="G176">
        <v>2074</v>
      </c>
      <c r="H176">
        <v>174</v>
      </c>
    </row>
    <row r="177" spans="1:8">
      <c r="A177" t="s">
        <v>103</v>
      </c>
      <c r="C177" t="s">
        <v>2501</v>
      </c>
      <c r="G177">
        <v>2075</v>
      </c>
      <c r="H177">
        <v>175</v>
      </c>
    </row>
    <row r="178" spans="1:8" ht="15">
      <c r="A178" t="s">
        <v>109</v>
      </c>
      <c r="B178" s="79" t="s">
        <v>27</v>
      </c>
      <c r="C178" t="s">
        <v>1504</v>
      </c>
      <c r="G178">
        <v>2076</v>
      </c>
      <c r="H178">
        <v>176</v>
      </c>
    </row>
    <row r="179" spans="1:8" ht="15">
      <c r="A179" t="s">
        <v>109</v>
      </c>
      <c r="B179" s="79" t="s">
        <v>2502</v>
      </c>
      <c r="C179" t="s">
        <v>41</v>
      </c>
      <c r="G179">
        <v>2077</v>
      </c>
      <c r="H179">
        <v>177</v>
      </c>
    </row>
    <row r="180" spans="1:8" ht="15">
      <c r="A180" t="s">
        <v>109</v>
      </c>
      <c r="B180" s="79" t="s">
        <v>1519</v>
      </c>
      <c r="C180" t="s">
        <v>54</v>
      </c>
      <c r="G180">
        <v>2078</v>
      </c>
      <c r="H180">
        <v>178</v>
      </c>
    </row>
    <row r="181" spans="1:8" ht="15">
      <c r="A181" t="s">
        <v>109</v>
      </c>
      <c r="B181" s="79" t="s">
        <v>1595</v>
      </c>
      <c r="C181" t="s">
        <v>68</v>
      </c>
      <c r="G181">
        <v>2079</v>
      </c>
      <c r="H181">
        <v>179</v>
      </c>
    </row>
    <row r="182" spans="1:8" ht="15">
      <c r="A182" t="s">
        <v>109</v>
      </c>
      <c r="B182" s="79" t="s">
        <v>1598</v>
      </c>
      <c r="C182" t="s">
        <v>1593</v>
      </c>
      <c r="G182">
        <v>2080</v>
      </c>
      <c r="H182">
        <v>180</v>
      </c>
    </row>
    <row r="183" spans="1:8" ht="15">
      <c r="A183" t="s">
        <v>109</v>
      </c>
      <c r="B183" s="79" t="s">
        <v>101</v>
      </c>
      <c r="C183" t="s">
        <v>90</v>
      </c>
      <c r="G183">
        <v>2081</v>
      </c>
      <c r="H183">
        <v>181</v>
      </c>
    </row>
    <row r="184" spans="1:8">
      <c r="A184" t="s">
        <v>109</v>
      </c>
      <c r="C184" t="s">
        <v>78</v>
      </c>
      <c r="G184">
        <v>2082</v>
      </c>
      <c r="H184">
        <v>182</v>
      </c>
    </row>
    <row r="185" spans="1:8">
      <c r="A185" t="s">
        <v>109</v>
      </c>
      <c r="C185" t="s">
        <v>1594</v>
      </c>
      <c r="G185">
        <v>2083</v>
      </c>
      <c r="H185">
        <v>183</v>
      </c>
    </row>
    <row r="186" spans="1:8">
      <c r="A186" t="s">
        <v>109</v>
      </c>
      <c r="C186" t="s">
        <v>102</v>
      </c>
      <c r="G186">
        <v>2084</v>
      </c>
      <c r="H186">
        <v>184</v>
      </c>
    </row>
    <row r="187" spans="1:8">
      <c r="A187" t="s">
        <v>109</v>
      </c>
      <c r="C187" t="s">
        <v>1596</v>
      </c>
      <c r="G187">
        <v>2085</v>
      </c>
      <c r="H187">
        <v>185</v>
      </c>
    </row>
    <row r="188" spans="1:8">
      <c r="A188" t="s">
        <v>109</v>
      </c>
      <c r="C188" t="s">
        <v>2455</v>
      </c>
      <c r="G188">
        <v>2086</v>
      </c>
      <c r="H188">
        <v>186</v>
      </c>
    </row>
    <row r="189" spans="1:8">
      <c r="A189" t="s">
        <v>109</v>
      </c>
      <c r="C189" t="s">
        <v>1597</v>
      </c>
      <c r="G189">
        <v>2087</v>
      </c>
      <c r="H189">
        <v>187</v>
      </c>
    </row>
    <row r="190" spans="1:8">
      <c r="A190" t="s">
        <v>109</v>
      </c>
      <c r="C190" t="s">
        <v>1599</v>
      </c>
      <c r="G190">
        <v>2088</v>
      </c>
      <c r="H190">
        <v>188</v>
      </c>
    </row>
    <row r="191" spans="1:8">
      <c r="A191" t="s">
        <v>109</v>
      </c>
      <c r="C191" t="s">
        <v>1600</v>
      </c>
      <c r="G191">
        <v>2089</v>
      </c>
      <c r="H191">
        <v>189</v>
      </c>
    </row>
    <row r="192" spans="1:8">
      <c r="A192" t="s">
        <v>109</v>
      </c>
      <c r="C192" t="s">
        <v>2503</v>
      </c>
      <c r="G192">
        <v>2090</v>
      </c>
      <c r="H192">
        <v>190</v>
      </c>
    </row>
    <row r="193" spans="1:8">
      <c r="A193" t="s">
        <v>109</v>
      </c>
      <c r="C193" t="s">
        <v>1602</v>
      </c>
      <c r="G193">
        <v>2091</v>
      </c>
      <c r="H193">
        <v>191</v>
      </c>
    </row>
    <row r="194" spans="1:8">
      <c r="A194" t="s">
        <v>109</v>
      </c>
      <c r="C194" t="s">
        <v>1601</v>
      </c>
      <c r="G194">
        <v>2092</v>
      </c>
      <c r="H194">
        <v>192</v>
      </c>
    </row>
    <row r="195" spans="1:8">
      <c r="A195" t="s">
        <v>109</v>
      </c>
      <c r="C195" t="s">
        <v>2504</v>
      </c>
      <c r="G195">
        <v>2093</v>
      </c>
      <c r="H195">
        <v>193</v>
      </c>
    </row>
    <row r="196" spans="1:8" ht="15">
      <c r="A196" t="s">
        <v>61</v>
      </c>
      <c r="B196" s="79" t="s">
        <v>20</v>
      </c>
      <c r="C196" t="s">
        <v>21</v>
      </c>
      <c r="G196">
        <v>2094</v>
      </c>
      <c r="H196">
        <v>194</v>
      </c>
    </row>
    <row r="197" spans="1:8" ht="15">
      <c r="A197" t="s">
        <v>61</v>
      </c>
      <c r="B197" s="79" t="s">
        <v>2505</v>
      </c>
      <c r="C197" t="s">
        <v>37</v>
      </c>
      <c r="G197">
        <v>2095</v>
      </c>
      <c r="H197">
        <v>195</v>
      </c>
    </row>
    <row r="198" spans="1:8" ht="15">
      <c r="A198" t="s">
        <v>61</v>
      </c>
      <c r="B198" s="79" t="s">
        <v>50</v>
      </c>
      <c r="C198" t="s">
        <v>51</v>
      </c>
      <c r="G198">
        <v>2096</v>
      </c>
      <c r="H198">
        <v>196</v>
      </c>
    </row>
    <row r="199" spans="1:8" ht="15">
      <c r="A199" t="s">
        <v>61</v>
      </c>
      <c r="B199" s="79" t="s">
        <v>1558</v>
      </c>
      <c r="C199" t="s">
        <v>63</v>
      </c>
      <c r="G199">
        <v>2097</v>
      </c>
      <c r="H199">
        <v>197</v>
      </c>
    </row>
    <row r="200" spans="1:8" ht="15">
      <c r="A200" t="s">
        <v>61</v>
      </c>
      <c r="B200" s="79" t="s">
        <v>2506</v>
      </c>
      <c r="C200" t="s">
        <v>1559</v>
      </c>
      <c r="G200">
        <v>2098</v>
      </c>
      <c r="H200">
        <v>198</v>
      </c>
    </row>
    <row r="201" spans="1:8" ht="15">
      <c r="A201" t="s">
        <v>61</v>
      </c>
      <c r="B201" s="79" t="s">
        <v>1562</v>
      </c>
      <c r="C201" t="s">
        <v>1560</v>
      </c>
      <c r="G201">
        <v>2099</v>
      </c>
      <c r="H201">
        <v>199</v>
      </c>
    </row>
    <row r="202" spans="1:8" ht="15">
      <c r="A202" t="s">
        <v>61</v>
      </c>
      <c r="B202" s="79" t="s">
        <v>62</v>
      </c>
      <c r="C202" t="s">
        <v>1561</v>
      </c>
      <c r="G202">
        <v>2100</v>
      </c>
      <c r="H202">
        <v>200</v>
      </c>
    </row>
    <row r="203" spans="1:8" ht="15">
      <c r="A203" t="s">
        <v>61</v>
      </c>
      <c r="B203" s="79" t="s">
        <v>2507</v>
      </c>
      <c r="C203" t="s">
        <v>106</v>
      </c>
      <c r="G203">
        <v>2101</v>
      </c>
    </row>
    <row r="204" spans="1:8" ht="15">
      <c r="A204" t="s">
        <v>61</v>
      </c>
      <c r="B204" s="79" t="s">
        <v>2508</v>
      </c>
      <c r="C204" t="s">
        <v>118</v>
      </c>
      <c r="G204">
        <v>2102</v>
      </c>
    </row>
    <row r="205" spans="1:8">
      <c r="A205" t="s">
        <v>61</v>
      </c>
      <c r="C205" t="s">
        <v>113</v>
      </c>
      <c r="G205">
        <v>2103</v>
      </c>
    </row>
    <row r="206" spans="1:8">
      <c r="A206" t="s">
        <v>61</v>
      </c>
      <c r="C206" t="s">
        <v>2509</v>
      </c>
      <c r="G206">
        <v>2104</v>
      </c>
    </row>
    <row r="207" spans="1:8" ht="15">
      <c r="A207" t="s">
        <v>73</v>
      </c>
      <c r="B207" s="79" t="s">
        <v>22</v>
      </c>
      <c r="C207" t="s">
        <v>2510</v>
      </c>
      <c r="G207">
        <v>2105</v>
      </c>
    </row>
    <row r="208" spans="1:8" ht="15">
      <c r="A208" t="s">
        <v>73</v>
      </c>
      <c r="B208" s="79" t="s">
        <v>86</v>
      </c>
      <c r="C208" t="s">
        <v>1563</v>
      </c>
      <c r="G208">
        <v>2106</v>
      </c>
    </row>
    <row r="209" spans="1:7" ht="15">
      <c r="A209" t="s">
        <v>73</v>
      </c>
      <c r="B209" s="79" t="s">
        <v>76</v>
      </c>
      <c r="C209" t="s">
        <v>65</v>
      </c>
      <c r="G209">
        <v>2107</v>
      </c>
    </row>
    <row r="210" spans="1:7" ht="15">
      <c r="A210" t="s">
        <v>73</v>
      </c>
      <c r="B210" s="79" t="s">
        <v>1564</v>
      </c>
      <c r="C210" t="s">
        <v>77</v>
      </c>
      <c r="G210">
        <v>2108</v>
      </c>
    </row>
    <row r="211" spans="1:7" ht="15">
      <c r="A211" t="s">
        <v>73</v>
      </c>
      <c r="B211" s="79" t="s">
        <v>1565</v>
      </c>
      <c r="C211" t="s">
        <v>87</v>
      </c>
      <c r="G211">
        <v>2109</v>
      </c>
    </row>
    <row r="212" spans="1:7" ht="15">
      <c r="A212" t="s">
        <v>73</v>
      </c>
      <c r="B212" s="79" t="s">
        <v>64</v>
      </c>
      <c r="C212" t="s">
        <v>2511</v>
      </c>
      <c r="G212">
        <v>2110</v>
      </c>
    </row>
    <row r="213" spans="1:7" ht="15">
      <c r="A213" t="s">
        <v>73</v>
      </c>
      <c r="B213" s="79" t="s">
        <v>1566</v>
      </c>
      <c r="C213" t="s">
        <v>2512</v>
      </c>
      <c r="G213">
        <v>2111</v>
      </c>
    </row>
    <row r="214" spans="1:7" ht="15">
      <c r="A214" t="s">
        <v>73</v>
      </c>
      <c r="B214" s="79" t="s">
        <v>85</v>
      </c>
      <c r="C214" t="s">
        <v>2513</v>
      </c>
      <c r="G214">
        <v>2112</v>
      </c>
    </row>
    <row r="215" spans="1:7" ht="15">
      <c r="A215" t="s">
        <v>73</v>
      </c>
      <c r="B215" s="79" t="s">
        <v>105</v>
      </c>
      <c r="C215" t="s">
        <v>2514</v>
      </c>
      <c r="G215">
        <v>2113</v>
      </c>
    </row>
    <row r="216" spans="1:7" ht="15">
      <c r="A216" t="s">
        <v>73</v>
      </c>
      <c r="B216" s="79" t="s">
        <v>2516</v>
      </c>
      <c r="C216" t="s">
        <v>2515</v>
      </c>
      <c r="G216">
        <v>2114</v>
      </c>
    </row>
    <row r="217" spans="1:7" ht="15">
      <c r="A217" t="s">
        <v>73</v>
      </c>
      <c r="B217" s="79" t="s">
        <v>114</v>
      </c>
      <c r="C217" t="s">
        <v>95</v>
      </c>
      <c r="G217">
        <v>2115</v>
      </c>
    </row>
    <row r="218" spans="1:7">
      <c r="A218" t="s">
        <v>73</v>
      </c>
      <c r="C218" t="s">
        <v>2517</v>
      </c>
      <c r="G218">
        <v>2116</v>
      </c>
    </row>
    <row r="219" spans="1:7" ht="15">
      <c r="A219" t="s">
        <v>83</v>
      </c>
      <c r="B219" s="79" t="s">
        <v>23</v>
      </c>
      <c r="C219" t="s">
        <v>2518</v>
      </c>
      <c r="G219">
        <v>2117</v>
      </c>
    </row>
    <row r="220" spans="1:7" ht="15">
      <c r="A220" t="s">
        <v>83</v>
      </c>
      <c r="B220" s="79" t="s">
        <v>88</v>
      </c>
      <c r="C220" t="s">
        <v>2519</v>
      </c>
      <c r="G220">
        <v>2118</v>
      </c>
    </row>
    <row r="221" spans="1:7" ht="15">
      <c r="A221" t="s">
        <v>83</v>
      </c>
      <c r="B221" s="79" t="s">
        <v>52</v>
      </c>
      <c r="C221" t="s">
        <v>2520</v>
      </c>
      <c r="G221">
        <v>2119</v>
      </c>
    </row>
    <row r="222" spans="1:7" ht="15">
      <c r="A222" t="s">
        <v>83</v>
      </c>
      <c r="B222" s="79" t="s">
        <v>66</v>
      </c>
      <c r="C222" t="s">
        <v>2521</v>
      </c>
      <c r="G222">
        <v>2120</v>
      </c>
    </row>
    <row r="223" spans="1:7" ht="15">
      <c r="A223" t="s">
        <v>83</v>
      </c>
      <c r="B223" s="79" t="s">
        <v>2522</v>
      </c>
      <c r="C223" t="s">
        <v>2523</v>
      </c>
      <c r="G223">
        <v>2121</v>
      </c>
    </row>
    <row r="224" spans="1:7" ht="15">
      <c r="A224" t="s">
        <v>83</v>
      </c>
      <c r="B224" s="79" t="s">
        <v>25</v>
      </c>
      <c r="C224" t="s">
        <v>26</v>
      </c>
      <c r="G224">
        <v>2122</v>
      </c>
    </row>
    <row r="225" spans="1:7" ht="15">
      <c r="A225" t="s">
        <v>83</v>
      </c>
      <c r="B225" s="79" t="s">
        <v>1567</v>
      </c>
      <c r="C225" t="s">
        <v>2524</v>
      </c>
      <c r="G225">
        <v>2123</v>
      </c>
    </row>
    <row r="226" spans="1:7" ht="15">
      <c r="A226" t="s">
        <v>83</v>
      </c>
      <c r="B226" s="79" t="s">
        <v>2525</v>
      </c>
      <c r="C226" t="s">
        <v>2526</v>
      </c>
      <c r="G226">
        <v>2124</v>
      </c>
    </row>
    <row r="227" spans="1:7" ht="15">
      <c r="A227" t="s">
        <v>83</v>
      </c>
      <c r="B227" s="79" t="s">
        <v>1615</v>
      </c>
      <c r="C227" t="s">
        <v>2527</v>
      </c>
      <c r="G227">
        <v>2125</v>
      </c>
    </row>
    <row r="228" spans="1:7" ht="15">
      <c r="A228" t="s">
        <v>92</v>
      </c>
      <c r="B228" s="79" t="s">
        <v>24</v>
      </c>
      <c r="C228" t="s">
        <v>2528</v>
      </c>
      <c r="G228">
        <v>2126</v>
      </c>
    </row>
    <row r="229" spans="1:7" ht="15">
      <c r="A229" t="s">
        <v>92</v>
      </c>
      <c r="B229" s="79" t="s">
        <v>38</v>
      </c>
      <c r="C229" t="s">
        <v>2529</v>
      </c>
      <c r="G229">
        <v>2127</v>
      </c>
    </row>
    <row r="230" spans="1:7" ht="15">
      <c r="A230" t="s">
        <v>92</v>
      </c>
      <c r="B230" s="79" t="s">
        <v>2530</v>
      </c>
      <c r="C230" t="s">
        <v>2531</v>
      </c>
      <c r="G230">
        <v>2128</v>
      </c>
    </row>
    <row r="231" spans="1:7" ht="15">
      <c r="A231" t="s">
        <v>92</v>
      </c>
      <c r="B231" s="79" t="s">
        <v>130</v>
      </c>
      <c r="C231" t="s">
        <v>2532</v>
      </c>
      <c r="G231">
        <v>2129</v>
      </c>
    </row>
    <row r="232" spans="1:7" ht="15">
      <c r="A232" t="s">
        <v>92</v>
      </c>
      <c r="B232" s="79" t="s">
        <v>52</v>
      </c>
      <c r="C232" t="s">
        <v>1568</v>
      </c>
      <c r="G232">
        <v>2130</v>
      </c>
    </row>
    <row r="233" spans="1:7" ht="15">
      <c r="A233" t="s">
        <v>92</v>
      </c>
      <c r="B233" s="79" t="s">
        <v>96</v>
      </c>
      <c r="C233" t="s">
        <v>2533</v>
      </c>
      <c r="G233">
        <v>2131</v>
      </c>
    </row>
    <row r="234" spans="1:7" ht="15">
      <c r="A234" t="s">
        <v>92</v>
      </c>
      <c r="B234" s="79" t="s">
        <v>88</v>
      </c>
      <c r="C234" t="s">
        <v>2534</v>
      </c>
      <c r="G234">
        <v>2132</v>
      </c>
    </row>
    <row r="235" spans="1:7" ht="15">
      <c r="A235" t="s">
        <v>92</v>
      </c>
      <c r="B235" s="79" t="s">
        <v>42</v>
      </c>
      <c r="C235" t="s">
        <v>1569</v>
      </c>
      <c r="G235">
        <v>2133</v>
      </c>
    </row>
    <row r="236" spans="1:7" ht="15">
      <c r="A236" t="s">
        <v>97</v>
      </c>
      <c r="B236" s="79" t="s">
        <v>39</v>
      </c>
      <c r="C236" t="s">
        <v>2535</v>
      </c>
      <c r="G236">
        <v>2134</v>
      </c>
    </row>
    <row r="237" spans="1:7" ht="15">
      <c r="A237" t="s">
        <v>97</v>
      </c>
      <c r="B237" s="79" t="s">
        <v>1571</v>
      </c>
      <c r="C237" t="s">
        <v>2536</v>
      </c>
      <c r="G237">
        <v>2135</v>
      </c>
    </row>
    <row r="238" spans="1:7" ht="15">
      <c r="A238" t="s">
        <v>97</v>
      </c>
      <c r="B238" s="79" t="s">
        <v>1570</v>
      </c>
      <c r="C238" t="s">
        <v>2537</v>
      </c>
      <c r="G238">
        <v>2136</v>
      </c>
    </row>
    <row r="239" spans="1:7" ht="15">
      <c r="A239" t="s">
        <v>97</v>
      </c>
      <c r="B239" s="79" t="s">
        <v>52</v>
      </c>
      <c r="C239" t="s">
        <v>1572</v>
      </c>
      <c r="G239">
        <v>2137</v>
      </c>
    </row>
    <row r="240" spans="1:7" ht="15">
      <c r="A240" t="s">
        <v>97</v>
      </c>
      <c r="B240" s="79" t="s">
        <v>1528</v>
      </c>
      <c r="C240" t="s">
        <v>2538</v>
      </c>
      <c r="G240">
        <v>2138</v>
      </c>
    </row>
    <row r="241" spans="1:7" ht="15">
      <c r="A241" t="s">
        <v>97</v>
      </c>
      <c r="B241" s="79" t="s">
        <v>2539</v>
      </c>
      <c r="C241" t="s">
        <v>2540</v>
      </c>
      <c r="G241">
        <v>2139</v>
      </c>
    </row>
    <row r="242" spans="1:7" ht="15">
      <c r="A242" t="s">
        <v>97</v>
      </c>
      <c r="B242" s="79" t="s">
        <v>1574</v>
      </c>
      <c r="C242" t="s">
        <v>2541</v>
      </c>
      <c r="G242">
        <v>2140</v>
      </c>
    </row>
    <row r="243" spans="1:7" ht="15">
      <c r="A243" t="s">
        <v>97</v>
      </c>
      <c r="B243" s="79" t="s">
        <v>88</v>
      </c>
      <c r="C243" t="s">
        <v>2542</v>
      </c>
      <c r="G243">
        <v>2141</v>
      </c>
    </row>
    <row r="244" spans="1:7" ht="15">
      <c r="A244" t="s">
        <v>97</v>
      </c>
      <c r="B244" s="79" t="s">
        <v>138</v>
      </c>
      <c r="C244" t="s">
        <v>2543</v>
      </c>
      <c r="G244">
        <v>2142</v>
      </c>
    </row>
    <row r="245" spans="1:7" ht="15">
      <c r="A245" t="s">
        <v>97</v>
      </c>
      <c r="B245" s="79" t="s">
        <v>1573</v>
      </c>
      <c r="C245" t="s">
        <v>2544</v>
      </c>
      <c r="G245">
        <v>2143</v>
      </c>
    </row>
    <row r="246" spans="1:7">
      <c r="A246" t="s">
        <v>1520</v>
      </c>
      <c r="B246" t="s">
        <v>1521</v>
      </c>
      <c r="C246" t="s">
        <v>2545</v>
      </c>
      <c r="G246">
        <v>2144</v>
      </c>
    </row>
    <row r="247" spans="1:7">
      <c r="A247" t="s">
        <v>1520</v>
      </c>
      <c r="B247" t="s">
        <v>1615</v>
      </c>
      <c r="C247" t="s">
        <v>2546</v>
      </c>
      <c r="G247">
        <v>2145</v>
      </c>
    </row>
    <row r="248" spans="1:7">
      <c r="A248" t="s">
        <v>1520</v>
      </c>
      <c r="B248" t="s">
        <v>1522</v>
      </c>
      <c r="C248" t="s">
        <v>2547</v>
      </c>
      <c r="G248">
        <v>2146</v>
      </c>
    </row>
    <row r="249" spans="1:7">
      <c r="A249" t="s">
        <v>116</v>
      </c>
      <c r="B249" t="s">
        <v>2548</v>
      </c>
      <c r="C249" t="s">
        <v>2549</v>
      </c>
      <c r="G249">
        <v>2147</v>
      </c>
    </row>
    <row r="250" spans="1:7">
      <c r="A250" t="s">
        <v>116</v>
      </c>
      <c r="B250" t="s">
        <v>2550</v>
      </c>
      <c r="C250" t="s">
        <v>2551</v>
      </c>
      <c r="G250">
        <v>2148</v>
      </c>
    </row>
    <row r="251" spans="1:7">
      <c r="A251" t="s">
        <v>116</v>
      </c>
      <c r="B251" t="s">
        <v>69</v>
      </c>
      <c r="C251" t="s">
        <v>2552</v>
      </c>
      <c r="G251">
        <v>2149</v>
      </c>
    </row>
    <row r="252" spans="1:7">
      <c r="A252" t="s">
        <v>116</v>
      </c>
      <c r="B252" t="s">
        <v>2553</v>
      </c>
      <c r="C252" t="s">
        <v>2554</v>
      </c>
      <c r="G252">
        <v>2150</v>
      </c>
    </row>
    <row r="253" spans="1:7">
      <c r="A253" t="s">
        <v>116</v>
      </c>
      <c r="B253" t="s">
        <v>52</v>
      </c>
      <c r="C253" t="s">
        <v>2555</v>
      </c>
      <c r="G253">
        <v>2151</v>
      </c>
    </row>
    <row r="254" spans="1:7">
      <c r="A254" t="s">
        <v>116</v>
      </c>
      <c r="B254" t="s">
        <v>1611</v>
      </c>
      <c r="C254" t="s">
        <v>2556</v>
      </c>
      <c r="G254">
        <v>2152</v>
      </c>
    </row>
    <row r="255" spans="1:7">
      <c r="A255" t="s">
        <v>116</v>
      </c>
      <c r="B255" t="s">
        <v>2557</v>
      </c>
      <c r="C255" t="s">
        <v>2558</v>
      </c>
      <c r="G255">
        <v>2153</v>
      </c>
    </row>
    <row r="256" spans="1:7">
      <c r="A256" t="s">
        <v>116</v>
      </c>
      <c r="B256" t="s">
        <v>2559</v>
      </c>
      <c r="C256" t="s">
        <v>2560</v>
      </c>
      <c r="G256">
        <v>2154</v>
      </c>
    </row>
    <row r="257" spans="1:7">
      <c r="A257" t="s">
        <v>116</v>
      </c>
      <c r="B257" t="s">
        <v>2561</v>
      </c>
      <c r="C257" t="s">
        <v>2562</v>
      </c>
      <c r="G257">
        <v>2155</v>
      </c>
    </row>
    <row r="258" spans="1:7">
      <c r="A258" t="s">
        <v>120</v>
      </c>
      <c r="B258" t="s">
        <v>2563</v>
      </c>
      <c r="C258" t="s">
        <v>2564</v>
      </c>
      <c r="G258">
        <v>2156</v>
      </c>
    </row>
    <row r="259" spans="1:7">
      <c r="A259" t="s">
        <v>120</v>
      </c>
      <c r="B259" t="s">
        <v>79</v>
      </c>
      <c r="C259" t="s">
        <v>80</v>
      </c>
      <c r="G259">
        <v>2157</v>
      </c>
    </row>
    <row r="260" spans="1:7">
      <c r="A260" t="s">
        <v>120</v>
      </c>
      <c r="B260" t="s">
        <v>70</v>
      </c>
      <c r="C260" t="s">
        <v>2565</v>
      </c>
      <c r="G260">
        <v>2158</v>
      </c>
    </row>
    <row r="261" spans="1:7">
      <c r="A261" t="s">
        <v>120</v>
      </c>
      <c r="B261" t="s">
        <v>55</v>
      </c>
      <c r="C261" t="s">
        <v>56</v>
      </c>
      <c r="G261">
        <v>2159</v>
      </c>
    </row>
    <row r="262" spans="1:7">
      <c r="A262" t="s">
        <v>120</v>
      </c>
      <c r="B262" t="s">
        <v>1612</v>
      </c>
      <c r="C262" t="s">
        <v>2566</v>
      </c>
      <c r="G262">
        <v>2160</v>
      </c>
    </row>
    <row r="263" spans="1:7">
      <c r="A263" t="s">
        <v>120</v>
      </c>
      <c r="B263" t="s">
        <v>1523</v>
      </c>
      <c r="C263" t="s">
        <v>2567</v>
      </c>
      <c r="G263">
        <v>2161</v>
      </c>
    </row>
    <row r="264" spans="1:7">
      <c r="A264" t="s">
        <v>120</v>
      </c>
      <c r="B264" t="s">
        <v>2568</v>
      </c>
      <c r="C264" t="s">
        <v>2569</v>
      </c>
      <c r="G264">
        <v>2162</v>
      </c>
    </row>
    <row r="265" spans="1:7">
      <c r="A265" t="s">
        <v>123</v>
      </c>
      <c r="B265" t="s">
        <v>2570</v>
      </c>
      <c r="C265" t="s">
        <v>2571</v>
      </c>
      <c r="G265">
        <v>2163</v>
      </c>
    </row>
    <row r="266" spans="1:7">
      <c r="A266" t="s">
        <v>123</v>
      </c>
      <c r="B266" t="s">
        <v>2572</v>
      </c>
      <c r="C266" t="s">
        <v>2573</v>
      </c>
      <c r="G266">
        <v>2164</v>
      </c>
    </row>
    <row r="267" spans="1:7">
      <c r="A267" t="s">
        <v>123</v>
      </c>
      <c r="B267" t="s">
        <v>91</v>
      </c>
      <c r="C267" t="s">
        <v>2574</v>
      </c>
      <c r="G267">
        <v>2165</v>
      </c>
    </row>
    <row r="268" spans="1:7">
      <c r="A268" t="s">
        <v>123</v>
      </c>
      <c r="B268" t="s">
        <v>2575</v>
      </c>
      <c r="C268" t="s">
        <v>1613</v>
      </c>
      <c r="G268">
        <v>2166</v>
      </c>
    </row>
    <row r="269" spans="1:7">
      <c r="A269" t="s">
        <v>123</v>
      </c>
      <c r="B269" t="s">
        <v>108</v>
      </c>
      <c r="C269" t="s">
        <v>2576</v>
      </c>
      <c r="G269">
        <v>2167</v>
      </c>
    </row>
    <row r="270" spans="1:7">
      <c r="A270" t="s">
        <v>123</v>
      </c>
      <c r="B270" t="s">
        <v>2577</v>
      </c>
      <c r="C270" t="s">
        <v>126</v>
      </c>
      <c r="G270">
        <v>2168</v>
      </c>
    </row>
    <row r="271" spans="1:7">
      <c r="A271" t="s">
        <v>123</v>
      </c>
      <c r="B271" t="s">
        <v>28</v>
      </c>
      <c r="C271" t="s">
        <v>1614</v>
      </c>
      <c r="G271">
        <v>2169</v>
      </c>
    </row>
    <row r="272" spans="1:7">
      <c r="A272" t="s">
        <v>123</v>
      </c>
      <c r="B272" t="s">
        <v>135</v>
      </c>
      <c r="C272" t="s">
        <v>2578</v>
      </c>
      <c r="G272">
        <v>2170</v>
      </c>
    </row>
    <row r="273" spans="1:7">
      <c r="A273" t="s">
        <v>1533</v>
      </c>
      <c r="B273" t="s">
        <v>1512</v>
      </c>
      <c r="C273" t="s">
        <v>2579</v>
      </c>
      <c r="G273">
        <v>2171</v>
      </c>
    </row>
    <row r="274" spans="1:7">
      <c r="A274" t="s">
        <v>1533</v>
      </c>
      <c r="B274" t="s">
        <v>137</v>
      </c>
      <c r="C274" t="s">
        <v>2580</v>
      </c>
      <c r="G274">
        <v>2172</v>
      </c>
    </row>
    <row r="275" spans="1:7">
      <c r="A275" t="s">
        <v>1533</v>
      </c>
      <c r="B275" t="s">
        <v>1535</v>
      </c>
      <c r="C275" t="s">
        <v>2581</v>
      </c>
      <c r="G275">
        <v>2173</v>
      </c>
    </row>
    <row r="276" spans="1:7">
      <c r="A276" t="s">
        <v>1533</v>
      </c>
      <c r="B276" t="s">
        <v>1536</v>
      </c>
      <c r="C276" t="s">
        <v>2582</v>
      </c>
      <c r="G276">
        <v>2174</v>
      </c>
    </row>
    <row r="277" spans="1:7">
      <c r="A277" t="s">
        <v>1533</v>
      </c>
      <c r="B277" t="s">
        <v>82</v>
      </c>
      <c r="C277" t="s">
        <v>2583</v>
      </c>
      <c r="G277">
        <v>2175</v>
      </c>
    </row>
    <row r="278" spans="1:7">
      <c r="G278">
        <v>2176</v>
      </c>
    </row>
    <row r="279" spans="1:7">
      <c r="G279">
        <v>2177</v>
      </c>
    </row>
    <row r="280" spans="1:7">
      <c r="G280">
        <v>2178</v>
      </c>
    </row>
    <row r="281" spans="1:7">
      <c r="G281">
        <v>2179</v>
      </c>
    </row>
    <row r="282" spans="1:7">
      <c r="G282">
        <v>2180</v>
      </c>
    </row>
    <row r="283" spans="1:7">
      <c r="G283">
        <v>2181</v>
      </c>
    </row>
    <row r="284" spans="1:7">
      <c r="G284">
        <v>2182</v>
      </c>
    </row>
    <row r="285" spans="1:7">
      <c r="G285">
        <v>2183</v>
      </c>
    </row>
    <row r="286" spans="1:7">
      <c r="G286">
        <v>2184</v>
      </c>
    </row>
    <row r="287" spans="1:7">
      <c r="G287">
        <v>2185</v>
      </c>
    </row>
    <row r="288" spans="1:7">
      <c r="G288">
        <v>2186</v>
      </c>
    </row>
    <row r="289" spans="7:7">
      <c r="G289">
        <v>2187</v>
      </c>
    </row>
    <row r="290" spans="7:7">
      <c r="G290">
        <v>2188</v>
      </c>
    </row>
    <row r="291" spans="7:7">
      <c r="G291">
        <v>2189</v>
      </c>
    </row>
    <row r="292" spans="7:7">
      <c r="G292">
        <v>2190</v>
      </c>
    </row>
    <row r="293" spans="7:7">
      <c r="G293">
        <v>2191</v>
      </c>
    </row>
    <row r="294" spans="7:7">
      <c r="G294">
        <v>2192</v>
      </c>
    </row>
    <row r="295" spans="7:7">
      <c r="G295">
        <v>2193</v>
      </c>
    </row>
    <row r="296" spans="7:7">
      <c r="G296">
        <v>2194</v>
      </c>
    </row>
    <row r="297" spans="7:7">
      <c r="G297">
        <v>2195</v>
      </c>
    </row>
    <row r="298" spans="7:7">
      <c r="G298">
        <v>2196</v>
      </c>
    </row>
    <row r="299" spans="7:7">
      <c r="G299">
        <v>2197</v>
      </c>
    </row>
    <row r="300" spans="7:7">
      <c r="G300">
        <v>2198</v>
      </c>
    </row>
    <row r="301" spans="7:7">
      <c r="G301">
        <v>2199</v>
      </c>
    </row>
    <row r="302" spans="7:7">
      <c r="G302">
        <v>2200</v>
      </c>
    </row>
  </sheetData>
  <protectedRanges>
    <protectedRange sqref="A10:A22" name="Range1"/>
  </protectedRanges>
  <pageMargins left="0.75" right="0.75" top="1" bottom="1" header="0.5" footer="0.5"/>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CD3BC6-C602-456E-94A8-B627C358FA80}">
  <sheetPr codeName="Sheet5">
    <pageSetUpPr fitToPage="1"/>
  </sheetPr>
  <dimension ref="A1:W695"/>
  <sheetViews>
    <sheetView topLeftCell="H1" zoomScale="120" zoomScaleNormal="120" workbookViewId="0">
      <selection activeCell="V10" sqref="V10"/>
    </sheetView>
  </sheetViews>
  <sheetFormatPr defaultRowHeight="13.8"/>
  <cols>
    <col min="1" max="1" width="27.109375" style="7" customWidth="1"/>
    <col min="2" max="2" width="14.5546875" style="7" bestFit="1" customWidth="1"/>
    <col min="3" max="3" width="15.44140625" style="7" bestFit="1" customWidth="1"/>
    <col min="4" max="4" width="14.109375" style="7" bestFit="1" customWidth="1"/>
    <col min="5" max="5" width="45.44140625" style="7" bestFit="1" customWidth="1"/>
    <col min="6" max="6" width="46.33203125" style="7" bestFit="1" customWidth="1"/>
    <col min="7" max="7" width="16.109375" style="7" bestFit="1" customWidth="1"/>
    <col min="8" max="8" width="16.109375" style="19" customWidth="1"/>
    <col min="9" max="9" width="12.6640625" style="19" bestFit="1" customWidth="1"/>
    <col min="10" max="10" width="17.6640625" style="19" bestFit="1" customWidth="1"/>
    <col min="11" max="11" width="21.33203125" style="19" customWidth="1"/>
    <col min="12" max="12" width="11.21875" style="19" customWidth="1"/>
    <col min="13" max="13" width="11.44140625" style="19" customWidth="1"/>
    <col min="14" max="14" width="14.44140625" style="19" customWidth="1"/>
    <col min="15" max="16" width="11.33203125" style="19" customWidth="1"/>
    <col min="17" max="17" width="18.6640625" style="7" customWidth="1"/>
    <col min="18" max="18" width="10.5546875" style="7" bestFit="1" customWidth="1"/>
    <col min="19" max="19" width="17" style="7" bestFit="1" customWidth="1"/>
    <col min="20" max="20" width="12.33203125" style="7" bestFit="1" customWidth="1"/>
    <col min="21" max="21" width="11.5546875" style="7" bestFit="1" customWidth="1"/>
    <col min="22" max="22" width="13.109375" style="21" bestFit="1" customWidth="1"/>
    <col min="23" max="23" width="10.6640625" style="88" bestFit="1" customWidth="1"/>
    <col min="24" max="24" width="25.5546875" style="7" customWidth="1"/>
    <col min="25" max="16384" width="8.88671875" style="7"/>
  </cols>
  <sheetData>
    <row r="1" spans="1:23" ht="48">
      <c r="A1" s="9" t="s">
        <v>139</v>
      </c>
      <c r="B1" s="10" t="s">
        <v>1367</v>
      </c>
      <c r="C1" s="10" t="s">
        <v>1368</v>
      </c>
      <c r="D1" s="10" t="s">
        <v>142</v>
      </c>
      <c r="E1" s="10" t="s">
        <v>143</v>
      </c>
      <c r="F1" s="10" t="s">
        <v>144</v>
      </c>
      <c r="G1" s="10" t="s">
        <v>145</v>
      </c>
      <c r="H1" s="10" t="s">
        <v>1358</v>
      </c>
      <c r="I1" s="11" t="s">
        <v>1354</v>
      </c>
      <c r="J1" s="11" t="s">
        <v>1355</v>
      </c>
      <c r="K1" s="11" t="s">
        <v>1369</v>
      </c>
      <c r="L1" s="10" t="s">
        <v>1370</v>
      </c>
      <c r="M1" s="10" t="s">
        <v>1352</v>
      </c>
      <c r="N1" s="10" t="s">
        <v>1371</v>
      </c>
      <c r="O1" s="10" t="s">
        <v>1337</v>
      </c>
      <c r="P1" s="10" t="s">
        <v>2703</v>
      </c>
      <c r="Q1" s="12" t="s">
        <v>1372</v>
      </c>
      <c r="R1" s="13" t="s">
        <v>148</v>
      </c>
      <c r="S1" s="14" t="s">
        <v>1373</v>
      </c>
      <c r="T1" s="15" t="s">
        <v>147</v>
      </c>
      <c r="U1" s="14" t="s">
        <v>1374</v>
      </c>
      <c r="V1" s="16" t="s">
        <v>134</v>
      </c>
      <c r="W1" s="88" t="s">
        <v>4034</v>
      </c>
    </row>
    <row r="2" spans="1:23" ht="14.4">
      <c r="A2" s="7" t="s">
        <v>1472</v>
      </c>
      <c r="B2" t="s">
        <v>1473</v>
      </c>
      <c r="C2" t="s">
        <v>1575</v>
      </c>
      <c r="D2" s="7" t="s">
        <v>1713</v>
      </c>
      <c r="E2" s="7" t="s">
        <v>1714</v>
      </c>
      <c r="F2" s="7" t="s">
        <v>1715</v>
      </c>
      <c r="G2" s="7" t="s">
        <v>2584</v>
      </c>
      <c r="H2" s="85" t="s">
        <v>2715</v>
      </c>
      <c r="I2" s="85" t="s">
        <v>2716</v>
      </c>
      <c r="J2" s="85"/>
      <c r="K2" s="85" t="s">
        <v>855</v>
      </c>
      <c r="L2" s="85">
        <v>4</v>
      </c>
      <c r="M2" s="20">
        <f>Table9[[#This Row],[Rate
(Please Select from the list)]]/5</f>
        <v>0.8</v>
      </c>
      <c r="N2" s="78">
        <v>3.31</v>
      </c>
      <c r="O2" s="74">
        <f>Table9[[#This Row],[Score %]]*Table9[[#This Row],[Item Weight
(Please Select from the list)]]</f>
        <v>2.6480000000000001</v>
      </c>
      <c r="P2" s="80">
        <v>5</v>
      </c>
      <c r="Q2" t="s">
        <v>59</v>
      </c>
      <c r="R2"/>
      <c r="S2" t="s">
        <v>43</v>
      </c>
      <c r="T2"/>
      <c r="U2" t="s">
        <v>44</v>
      </c>
      <c r="V2" t="s">
        <v>3812</v>
      </c>
      <c r="W2" s="88" t="s">
        <v>4034</v>
      </c>
    </row>
    <row r="3" spans="1:23" ht="14.4">
      <c r="A3" s="7" t="s">
        <v>1472</v>
      </c>
      <c r="B3" t="s">
        <v>2416</v>
      </c>
      <c r="C3" t="s">
        <v>1576</v>
      </c>
      <c r="D3" s="7" t="s">
        <v>1716</v>
      </c>
      <c r="E3" s="7" t="s">
        <v>1717</v>
      </c>
      <c r="F3" s="7" t="s">
        <v>1718</v>
      </c>
      <c r="G3" s="7" t="s">
        <v>2584</v>
      </c>
      <c r="H3" s="85" t="s">
        <v>2717</v>
      </c>
      <c r="I3" s="85" t="s">
        <v>2718</v>
      </c>
      <c r="J3" s="85" t="s">
        <v>2719</v>
      </c>
      <c r="K3" s="85" t="s">
        <v>16</v>
      </c>
      <c r="L3" s="85">
        <v>3</v>
      </c>
      <c r="M3" s="20">
        <f>Table9[[#This Row],[Rate
(Please Select from the list)]]/5</f>
        <v>0.6</v>
      </c>
      <c r="N3" s="78">
        <v>3.31</v>
      </c>
      <c r="O3" s="74">
        <f>Table9[[#This Row],[Score %]]*Table9[[#This Row],[Item Weight
(Please Select from the list)]]</f>
        <v>1.986</v>
      </c>
      <c r="P3" s="80">
        <v>5</v>
      </c>
      <c r="Q3" t="s">
        <v>15</v>
      </c>
      <c r="R3"/>
      <c r="S3" t="s">
        <v>43</v>
      </c>
      <c r="T3"/>
      <c r="U3" t="s">
        <v>44</v>
      </c>
      <c r="V3" t="s">
        <v>3813</v>
      </c>
      <c r="W3" s="88" t="s">
        <v>4034</v>
      </c>
    </row>
    <row r="4" spans="1:23" ht="14.4">
      <c r="A4" s="7" t="s">
        <v>1472</v>
      </c>
      <c r="B4" t="s">
        <v>1479</v>
      </c>
      <c r="C4" t="s">
        <v>1474</v>
      </c>
      <c r="D4" s="7" t="s">
        <v>1719</v>
      </c>
      <c r="E4" s="7" t="s">
        <v>1720</v>
      </c>
      <c r="F4" s="7" t="s">
        <v>1721</v>
      </c>
      <c r="G4" s="7" t="s">
        <v>2584</v>
      </c>
      <c r="H4" s="85" t="s">
        <v>2720</v>
      </c>
      <c r="I4" s="85" t="s">
        <v>2716</v>
      </c>
      <c r="J4" s="85" t="s">
        <v>2721</v>
      </c>
      <c r="K4" s="85" t="s">
        <v>16</v>
      </c>
      <c r="L4" s="85">
        <v>3</v>
      </c>
      <c r="M4" s="20">
        <f>Table9[[#This Row],[Rate
(Please Select from the list)]]/5</f>
        <v>0.6</v>
      </c>
      <c r="N4" s="78">
        <v>2.65</v>
      </c>
      <c r="O4" s="74">
        <f>Table9[[#This Row],[Score %]]*Table9[[#This Row],[Item Weight
(Please Select from the list)]]</f>
        <v>1.5899999999999999</v>
      </c>
      <c r="P4" s="80">
        <v>4</v>
      </c>
      <c r="Q4" t="s">
        <v>59</v>
      </c>
      <c r="R4" t="s">
        <v>3814</v>
      </c>
      <c r="S4" t="s">
        <v>29</v>
      </c>
      <c r="T4" s="86">
        <v>45421</v>
      </c>
      <c r="U4" t="s">
        <v>30</v>
      </c>
      <c r="V4" t="s">
        <v>3815</v>
      </c>
      <c r="W4" s="88" t="s">
        <v>4034</v>
      </c>
    </row>
    <row r="5" spans="1:23" ht="14.4">
      <c r="A5" s="7" t="s">
        <v>1472</v>
      </c>
      <c r="B5" t="s">
        <v>1483</v>
      </c>
      <c r="C5" t="s">
        <v>1577</v>
      </c>
      <c r="D5" s="7" t="s">
        <v>1722</v>
      </c>
      <c r="E5" s="7" t="s">
        <v>1723</v>
      </c>
      <c r="F5" s="7" t="s">
        <v>1724</v>
      </c>
      <c r="G5" s="7" t="s">
        <v>2584</v>
      </c>
      <c r="H5" s="85" t="s">
        <v>2722</v>
      </c>
      <c r="I5" s="85" t="s">
        <v>2716</v>
      </c>
      <c r="J5" s="85" t="s">
        <v>2723</v>
      </c>
      <c r="K5" s="85" t="s">
        <v>16</v>
      </c>
      <c r="L5" s="85">
        <v>3</v>
      </c>
      <c r="M5" s="20">
        <f>Table9[[#This Row],[Rate
(Please Select from the list)]]/5</f>
        <v>0.6</v>
      </c>
      <c r="N5" s="78">
        <v>3.31</v>
      </c>
      <c r="O5" s="74">
        <f>Table9[[#This Row],[Score %]]*Table9[[#This Row],[Item Weight
(Please Select from the list)]]</f>
        <v>1.986</v>
      </c>
      <c r="P5" s="80">
        <v>5</v>
      </c>
      <c r="Q5" t="s">
        <v>59</v>
      </c>
      <c r="R5" t="s">
        <v>3816</v>
      </c>
      <c r="S5" t="s">
        <v>29</v>
      </c>
      <c r="T5" s="86">
        <v>45421</v>
      </c>
      <c r="U5" t="s">
        <v>14</v>
      </c>
      <c r="V5" t="s">
        <v>3817</v>
      </c>
      <c r="W5" s="88" t="s">
        <v>4034</v>
      </c>
    </row>
    <row r="6" spans="1:23" ht="14.4">
      <c r="A6" s="7" t="s">
        <v>1472</v>
      </c>
      <c r="B6" t="s">
        <v>1485</v>
      </c>
      <c r="C6" t="s">
        <v>1578</v>
      </c>
      <c r="D6" s="7" t="s">
        <v>1725</v>
      </c>
      <c r="E6" s="7" t="s">
        <v>1726</v>
      </c>
      <c r="F6" s="7" t="s">
        <v>1727</v>
      </c>
      <c r="G6" s="7" t="s">
        <v>2584</v>
      </c>
      <c r="H6" s="85" t="s">
        <v>2724</v>
      </c>
      <c r="I6" s="85" t="s">
        <v>2725</v>
      </c>
      <c r="J6" s="85" t="s">
        <v>2726</v>
      </c>
      <c r="K6" s="85" t="s">
        <v>16</v>
      </c>
      <c r="L6" s="85">
        <v>3</v>
      </c>
      <c r="M6" s="20">
        <f>Table9[[#This Row],[Rate
(Please Select from the list)]]/5</f>
        <v>0.6</v>
      </c>
      <c r="N6" s="78">
        <v>2.65</v>
      </c>
      <c r="O6" s="74">
        <f>Table9[[#This Row],[Score %]]*Table9[[#This Row],[Item Weight
(Please Select from the list)]]</f>
        <v>1.5899999999999999</v>
      </c>
      <c r="P6" s="80">
        <v>4</v>
      </c>
      <c r="Q6" t="s">
        <v>59</v>
      </c>
      <c r="R6" t="s">
        <v>3818</v>
      </c>
      <c r="S6" t="s">
        <v>29</v>
      </c>
      <c r="T6" s="86">
        <v>45421</v>
      </c>
      <c r="U6" t="s">
        <v>30</v>
      </c>
      <c r="V6" t="s">
        <v>3817</v>
      </c>
      <c r="W6" s="88" t="s">
        <v>4034</v>
      </c>
    </row>
    <row r="7" spans="1:23" ht="14.4">
      <c r="A7" s="7" t="s">
        <v>1472</v>
      </c>
      <c r="B7" t="s">
        <v>1473</v>
      </c>
      <c r="C7" t="s">
        <v>1575</v>
      </c>
      <c r="D7" s="7" t="s">
        <v>1728</v>
      </c>
      <c r="E7" s="7" t="s">
        <v>1729</v>
      </c>
      <c r="F7" s="7" t="s">
        <v>1730</v>
      </c>
      <c r="G7" s="7" t="s">
        <v>2584</v>
      </c>
      <c r="H7" s="85" t="s">
        <v>2727</v>
      </c>
      <c r="I7" s="85" t="s">
        <v>2728</v>
      </c>
      <c r="J7" s="85" t="s">
        <v>2729</v>
      </c>
      <c r="K7" s="85" t="s">
        <v>16</v>
      </c>
      <c r="L7" s="85">
        <v>1</v>
      </c>
      <c r="M7" s="20">
        <f>Table9[[#This Row],[Rate
(Please Select from the list)]]/5</f>
        <v>0.2</v>
      </c>
      <c r="N7" s="78">
        <v>2.65</v>
      </c>
      <c r="O7" s="74">
        <f>Table9[[#This Row],[Score %]]*Table9[[#This Row],[Item Weight
(Please Select from the list)]]</f>
        <v>0.53</v>
      </c>
      <c r="P7" s="80">
        <v>4</v>
      </c>
      <c r="Q7" t="s">
        <v>59</v>
      </c>
      <c r="R7" t="s">
        <v>3819</v>
      </c>
      <c r="S7" t="s">
        <v>13</v>
      </c>
      <c r="T7" t="s">
        <v>3820</v>
      </c>
      <c r="U7" t="s">
        <v>14</v>
      </c>
      <c r="V7" t="s">
        <v>3821</v>
      </c>
      <c r="W7" s="88" t="s">
        <v>4034</v>
      </c>
    </row>
    <row r="8" spans="1:23" ht="14.4">
      <c r="A8" s="7" t="s">
        <v>1472</v>
      </c>
      <c r="B8" t="s">
        <v>1488</v>
      </c>
      <c r="C8" t="s">
        <v>1475</v>
      </c>
      <c r="D8" s="7" t="s">
        <v>1731</v>
      </c>
      <c r="E8" s="7" t="s">
        <v>1732</v>
      </c>
      <c r="F8" s="7" t="s">
        <v>1733</v>
      </c>
      <c r="G8" s="7" t="s">
        <v>2584</v>
      </c>
      <c r="H8" s="85" t="s">
        <v>2730</v>
      </c>
      <c r="I8" s="85" t="s">
        <v>2731</v>
      </c>
      <c r="J8" s="85" t="s">
        <v>2732</v>
      </c>
      <c r="K8" s="85" t="s">
        <v>16</v>
      </c>
      <c r="L8" s="85">
        <v>3</v>
      </c>
      <c r="M8" s="20">
        <f>Table9[[#This Row],[Rate
(Please Select from the list)]]/5</f>
        <v>0.6</v>
      </c>
      <c r="N8" s="78">
        <v>3.31</v>
      </c>
      <c r="O8" s="74">
        <f>Table9[[#This Row],[Score %]]*Table9[[#This Row],[Item Weight
(Please Select from the list)]]</f>
        <v>1.986</v>
      </c>
      <c r="P8" s="80">
        <v>5</v>
      </c>
      <c r="Q8" t="s">
        <v>46</v>
      </c>
      <c r="R8"/>
      <c r="S8" t="s">
        <v>43</v>
      </c>
      <c r="T8"/>
      <c r="U8" t="s">
        <v>58</v>
      </c>
      <c r="V8" t="s">
        <v>3815</v>
      </c>
      <c r="W8" s="88" t="s">
        <v>4034</v>
      </c>
    </row>
    <row r="9" spans="1:23" ht="14.4">
      <c r="A9" s="7" t="s">
        <v>1472</v>
      </c>
      <c r="B9" t="s">
        <v>82</v>
      </c>
      <c r="C9" t="s">
        <v>1579</v>
      </c>
      <c r="D9" s="7" t="s">
        <v>1734</v>
      </c>
      <c r="E9" s="7" t="s">
        <v>1735</v>
      </c>
      <c r="F9" s="7" t="s">
        <v>1736</v>
      </c>
      <c r="G9" s="7" t="s">
        <v>2584</v>
      </c>
      <c r="H9" s="85" t="s">
        <v>2733</v>
      </c>
      <c r="I9" s="85" t="s">
        <v>2716</v>
      </c>
      <c r="J9" s="85" t="s">
        <v>2734</v>
      </c>
      <c r="K9" s="85" t="s">
        <v>16</v>
      </c>
      <c r="L9" s="85">
        <v>2</v>
      </c>
      <c r="M9" s="20">
        <f>Table9[[#This Row],[Rate
(Please Select from the list)]]/5</f>
        <v>0.4</v>
      </c>
      <c r="N9" s="78">
        <v>3.31</v>
      </c>
      <c r="O9" s="74">
        <f>Table9[[#This Row],[Score %]]*Table9[[#This Row],[Item Weight
(Please Select from the list)]]</f>
        <v>1.3240000000000001</v>
      </c>
      <c r="P9" s="80">
        <v>5</v>
      </c>
      <c r="Q9" t="s">
        <v>15</v>
      </c>
      <c r="R9" t="s">
        <v>3822</v>
      </c>
      <c r="S9" t="s">
        <v>13</v>
      </c>
      <c r="T9" t="s">
        <v>3820</v>
      </c>
      <c r="U9" t="s">
        <v>14</v>
      </c>
      <c r="V9" t="s">
        <v>3823</v>
      </c>
      <c r="W9" s="88" t="s">
        <v>4034</v>
      </c>
    </row>
    <row r="10" spans="1:23" ht="14.4">
      <c r="A10" s="7" t="s">
        <v>1472</v>
      </c>
      <c r="B10" t="s">
        <v>2424</v>
      </c>
      <c r="C10" t="s">
        <v>1476</v>
      </c>
      <c r="D10" s="7" t="s">
        <v>1737</v>
      </c>
      <c r="E10" s="7" t="s">
        <v>1738</v>
      </c>
      <c r="F10" s="7" t="s">
        <v>1739</v>
      </c>
      <c r="G10" s="7" t="s">
        <v>2584</v>
      </c>
      <c r="H10" s="85" t="s">
        <v>2735</v>
      </c>
      <c r="I10" s="85" t="s">
        <v>2736</v>
      </c>
      <c r="J10" s="85" t="s">
        <v>2737</v>
      </c>
      <c r="K10" s="85" t="s">
        <v>16</v>
      </c>
      <c r="L10" s="85">
        <v>3</v>
      </c>
      <c r="M10" s="20">
        <f>Table9[[#This Row],[Rate
(Please Select from the list)]]/5</f>
        <v>0.6</v>
      </c>
      <c r="N10" s="78">
        <v>3.31</v>
      </c>
      <c r="O10" s="74">
        <f>Table9[[#This Row],[Score %]]*Table9[[#This Row],[Item Weight
(Please Select from the list)]]</f>
        <v>1.986</v>
      </c>
      <c r="P10" s="80">
        <v>5</v>
      </c>
      <c r="Q10" t="s">
        <v>46</v>
      </c>
      <c r="R10" t="s">
        <v>3824</v>
      </c>
      <c r="S10" t="s">
        <v>29</v>
      </c>
      <c r="T10" s="86">
        <v>45421</v>
      </c>
      <c r="U10" t="s">
        <v>30</v>
      </c>
      <c r="V10" t="s">
        <v>3825</v>
      </c>
      <c r="W10" s="88" t="s">
        <v>4034</v>
      </c>
    </row>
    <row r="11" spans="1:23" ht="14.4">
      <c r="A11" s="7" t="s">
        <v>1472</v>
      </c>
      <c r="B11" t="s">
        <v>1192</v>
      </c>
      <c r="C11" t="s">
        <v>1477</v>
      </c>
      <c r="D11" s="7" t="s">
        <v>1740</v>
      </c>
      <c r="E11" s="7" t="s">
        <v>1741</v>
      </c>
      <c r="F11" s="7" t="s">
        <v>1742</v>
      </c>
      <c r="G11" s="7" t="s">
        <v>2584</v>
      </c>
      <c r="H11" s="85" t="s">
        <v>2738</v>
      </c>
      <c r="I11" s="85" t="s">
        <v>2739</v>
      </c>
      <c r="J11" s="85" t="s">
        <v>2740</v>
      </c>
      <c r="K11" s="85" t="s">
        <v>16</v>
      </c>
      <c r="L11" s="85">
        <v>1</v>
      </c>
      <c r="M11" s="20">
        <f>Table9[[#This Row],[Rate
(Please Select from the list)]]/5</f>
        <v>0.2</v>
      </c>
      <c r="N11" s="78">
        <v>2.65</v>
      </c>
      <c r="O11" s="74">
        <f>Table9[[#This Row],[Score %]]*Table9[[#This Row],[Item Weight
(Please Select from the list)]]</f>
        <v>0.53</v>
      </c>
      <c r="P11" s="80">
        <v>4</v>
      </c>
      <c r="Q11" t="s">
        <v>59</v>
      </c>
      <c r="R11" t="s">
        <v>3826</v>
      </c>
      <c r="S11" t="s">
        <v>13</v>
      </c>
      <c r="T11" t="s">
        <v>3820</v>
      </c>
      <c r="U11" t="s">
        <v>14</v>
      </c>
      <c r="V11" t="s">
        <v>3827</v>
      </c>
      <c r="W11" s="88" t="s">
        <v>4034</v>
      </c>
    </row>
    <row r="12" spans="1:23" ht="14.4">
      <c r="A12" s="7" t="s">
        <v>1472</v>
      </c>
      <c r="B12"/>
      <c r="C12" t="s">
        <v>1580</v>
      </c>
      <c r="D12" s="7" t="s">
        <v>1743</v>
      </c>
      <c r="E12" s="7" t="s">
        <v>1744</v>
      </c>
      <c r="F12" s="7" t="s">
        <v>1745</v>
      </c>
      <c r="G12" s="7" t="s">
        <v>2584</v>
      </c>
      <c r="H12" s="85" t="s">
        <v>2741</v>
      </c>
      <c r="I12" s="85" t="s">
        <v>2728</v>
      </c>
      <c r="J12" s="85" t="s">
        <v>2742</v>
      </c>
      <c r="K12" s="85" t="s">
        <v>16</v>
      </c>
      <c r="L12" s="85">
        <v>0</v>
      </c>
      <c r="M12" s="20">
        <f>Table9[[#This Row],[Rate
(Please Select from the list)]]/5</f>
        <v>0</v>
      </c>
      <c r="N12" s="78">
        <v>2.65</v>
      </c>
      <c r="O12" s="74">
        <f>Table9[[#This Row],[Score %]]*Table9[[#This Row],[Item Weight
(Please Select from the list)]]</f>
        <v>0</v>
      </c>
      <c r="P12" s="80">
        <v>4</v>
      </c>
      <c r="Q12" t="s">
        <v>46</v>
      </c>
      <c r="R12"/>
      <c r="S12" t="s">
        <v>3828</v>
      </c>
      <c r="T12"/>
      <c r="U12" t="s">
        <v>45</v>
      </c>
      <c r="V12" t="s">
        <v>3829</v>
      </c>
      <c r="W12" s="88" t="s">
        <v>4034</v>
      </c>
    </row>
    <row r="13" spans="1:23" ht="14.4">
      <c r="A13" s="7" t="s">
        <v>1472</v>
      </c>
      <c r="B13"/>
      <c r="C13" t="s">
        <v>1478</v>
      </c>
      <c r="D13" s="7" t="s">
        <v>1746</v>
      </c>
      <c r="E13" s="7" t="s">
        <v>1747</v>
      </c>
      <c r="F13" s="7" t="s">
        <v>1748</v>
      </c>
      <c r="G13" s="7" t="s">
        <v>2584</v>
      </c>
      <c r="H13" s="85" t="s">
        <v>2743</v>
      </c>
      <c r="I13" s="85" t="s">
        <v>2718</v>
      </c>
      <c r="J13" s="85"/>
      <c r="K13" s="85" t="s">
        <v>16</v>
      </c>
      <c r="L13" s="85">
        <v>4</v>
      </c>
      <c r="M13" s="20">
        <f>Table9[[#This Row],[Rate
(Please Select from the list)]]/5</f>
        <v>0.8</v>
      </c>
      <c r="N13" s="78">
        <v>2.65</v>
      </c>
      <c r="O13" s="74">
        <f>Table9[[#This Row],[Score %]]*Table9[[#This Row],[Item Weight
(Please Select from the list)]]</f>
        <v>2.12</v>
      </c>
      <c r="P13" s="80">
        <v>4</v>
      </c>
      <c r="Q13" t="s">
        <v>15</v>
      </c>
      <c r="R13"/>
      <c r="S13" t="s">
        <v>57</v>
      </c>
      <c r="T13"/>
      <c r="U13" t="s">
        <v>58</v>
      </c>
      <c r="V13" t="s">
        <v>3812</v>
      </c>
      <c r="W13" s="88" t="s">
        <v>4034</v>
      </c>
    </row>
    <row r="14" spans="1:23" ht="14.4">
      <c r="A14" s="7" t="s">
        <v>1472</v>
      </c>
      <c r="B14" t="s">
        <v>2416</v>
      </c>
      <c r="C14" t="s">
        <v>1576</v>
      </c>
      <c r="D14" s="7" t="s">
        <v>1749</v>
      </c>
      <c r="E14" s="7" t="s">
        <v>1750</v>
      </c>
      <c r="F14" s="7" t="s">
        <v>1751</v>
      </c>
      <c r="G14" s="7" t="s">
        <v>2584</v>
      </c>
      <c r="H14" s="85" t="s">
        <v>2744</v>
      </c>
      <c r="I14" s="85" t="s">
        <v>2725</v>
      </c>
      <c r="J14" s="85"/>
      <c r="K14" s="85" t="s">
        <v>47</v>
      </c>
      <c r="L14" s="85">
        <v>4</v>
      </c>
      <c r="M14" s="20">
        <f>Table9[[#This Row],[Rate
(Please Select from the list)]]/5</f>
        <v>0.8</v>
      </c>
      <c r="N14" s="78">
        <v>3.31</v>
      </c>
      <c r="O14" s="74">
        <f>Table9[[#This Row],[Score %]]*Table9[[#This Row],[Item Weight
(Please Select from the list)]]</f>
        <v>2.6480000000000001</v>
      </c>
      <c r="P14" s="80">
        <v>5</v>
      </c>
      <c r="Q14" t="s">
        <v>46</v>
      </c>
      <c r="R14"/>
      <c r="S14" t="s">
        <v>57</v>
      </c>
      <c r="T14"/>
      <c r="U14" t="s">
        <v>44</v>
      </c>
      <c r="V14" t="s">
        <v>3812</v>
      </c>
      <c r="W14" s="88" t="s">
        <v>4034</v>
      </c>
    </row>
    <row r="15" spans="1:23" ht="14.4">
      <c r="A15" s="7" t="s">
        <v>1472</v>
      </c>
      <c r="B15"/>
      <c r="C15" t="s">
        <v>1481</v>
      </c>
      <c r="D15" s="7" t="s">
        <v>1752</v>
      </c>
      <c r="E15" s="7" t="s">
        <v>1753</v>
      </c>
      <c r="F15" s="7" t="s">
        <v>1754</v>
      </c>
      <c r="G15" s="7" t="s">
        <v>2584</v>
      </c>
      <c r="H15" s="85" t="s">
        <v>2745</v>
      </c>
      <c r="I15" s="85" t="s">
        <v>2736</v>
      </c>
      <c r="J15" s="85" t="s">
        <v>2746</v>
      </c>
      <c r="K15" s="85" t="s">
        <v>16</v>
      </c>
      <c r="L15" s="85">
        <v>2</v>
      </c>
      <c r="M15" s="20">
        <f>Table9[[#This Row],[Rate
(Please Select from the list)]]/5</f>
        <v>0.4</v>
      </c>
      <c r="N15" s="78">
        <v>2.65</v>
      </c>
      <c r="O15" s="74">
        <f>Table9[[#This Row],[Score %]]*Table9[[#This Row],[Item Weight
(Please Select from the list)]]</f>
        <v>1.06</v>
      </c>
      <c r="P15" s="80">
        <v>4</v>
      </c>
      <c r="Q15" t="s">
        <v>46</v>
      </c>
      <c r="R15" t="s">
        <v>3830</v>
      </c>
      <c r="S15" t="s">
        <v>13</v>
      </c>
      <c r="T15" t="s">
        <v>3820</v>
      </c>
      <c r="U15" t="s">
        <v>30</v>
      </c>
      <c r="V15" t="s">
        <v>3831</v>
      </c>
      <c r="W15" s="88" t="s">
        <v>4034</v>
      </c>
    </row>
    <row r="16" spans="1:23" ht="14.4">
      <c r="A16" s="7" t="s">
        <v>1472</v>
      </c>
      <c r="B16" t="s">
        <v>2416</v>
      </c>
      <c r="C16" t="s">
        <v>1576</v>
      </c>
      <c r="D16" s="7" t="s">
        <v>1755</v>
      </c>
      <c r="E16" s="7" t="s">
        <v>1756</v>
      </c>
      <c r="F16" s="7" t="s">
        <v>1757</v>
      </c>
      <c r="G16" s="7" t="s">
        <v>2584</v>
      </c>
      <c r="H16" s="85" t="s">
        <v>2747</v>
      </c>
      <c r="I16" s="85" t="s">
        <v>2748</v>
      </c>
      <c r="J16" s="85" t="s">
        <v>2749</v>
      </c>
      <c r="K16" s="85" t="s">
        <v>16</v>
      </c>
      <c r="L16" s="85">
        <v>3</v>
      </c>
      <c r="M16" s="20">
        <f>Table9[[#This Row],[Rate
(Please Select from the list)]]/5</f>
        <v>0.6</v>
      </c>
      <c r="N16" s="78">
        <v>3.31</v>
      </c>
      <c r="O16" s="74">
        <f>Table9[[#This Row],[Score %]]*Table9[[#This Row],[Item Weight
(Please Select from the list)]]</f>
        <v>1.986</v>
      </c>
      <c r="P16" s="80">
        <v>5</v>
      </c>
      <c r="Q16" t="s">
        <v>15</v>
      </c>
      <c r="R16"/>
      <c r="S16" t="s">
        <v>43</v>
      </c>
      <c r="T16"/>
      <c r="U16" t="s">
        <v>44</v>
      </c>
      <c r="V16" t="s">
        <v>3817</v>
      </c>
      <c r="W16" s="88" t="s">
        <v>4034</v>
      </c>
    </row>
    <row r="17" spans="1:23" ht="14.4">
      <c r="A17" s="7" t="s">
        <v>1472</v>
      </c>
      <c r="B17"/>
      <c r="C17" t="s">
        <v>1484</v>
      </c>
      <c r="D17" s="7" t="s">
        <v>1758</v>
      </c>
      <c r="E17" s="7" t="s">
        <v>1759</v>
      </c>
      <c r="F17" s="7" t="s">
        <v>1760</v>
      </c>
      <c r="G17" s="7" t="s">
        <v>2584</v>
      </c>
      <c r="H17" s="85" t="s">
        <v>2750</v>
      </c>
      <c r="I17" s="85" t="s">
        <v>2716</v>
      </c>
      <c r="J17" s="85"/>
      <c r="K17" s="85" t="s">
        <v>47</v>
      </c>
      <c r="L17" s="85">
        <v>4</v>
      </c>
      <c r="M17" s="20">
        <f>Table9[[#This Row],[Rate
(Please Select from the list)]]/5</f>
        <v>0.8</v>
      </c>
      <c r="N17" s="78">
        <v>2.65</v>
      </c>
      <c r="O17" s="74">
        <f>Table9[[#This Row],[Score %]]*Table9[[#This Row],[Item Weight
(Please Select from the list)]]</f>
        <v>2.12</v>
      </c>
      <c r="P17" s="80">
        <v>4</v>
      </c>
      <c r="Q17" t="s">
        <v>59</v>
      </c>
      <c r="R17"/>
      <c r="S17" t="s">
        <v>57</v>
      </c>
      <c r="T17"/>
      <c r="U17" t="s">
        <v>58</v>
      </c>
      <c r="V17" t="s">
        <v>3812</v>
      </c>
      <c r="W17" s="88" t="s">
        <v>4034</v>
      </c>
    </row>
    <row r="18" spans="1:23" ht="14.4">
      <c r="A18" s="7" t="s">
        <v>1472</v>
      </c>
      <c r="B18"/>
      <c r="C18" t="s">
        <v>1581</v>
      </c>
      <c r="D18" s="7" t="s">
        <v>1761</v>
      </c>
      <c r="E18" s="7" t="s">
        <v>1762</v>
      </c>
      <c r="F18" s="7" t="s">
        <v>1763</v>
      </c>
      <c r="G18" s="7" t="s">
        <v>2584</v>
      </c>
      <c r="H18" s="85" t="s">
        <v>2751</v>
      </c>
      <c r="I18" s="85" t="s">
        <v>2731</v>
      </c>
      <c r="J18" s="85" t="s">
        <v>2752</v>
      </c>
      <c r="K18" s="85" t="s">
        <v>16</v>
      </c>
      <c r="L18" s="85">
        <v>2</v>
      </c>
      <c r="M18" s="20">
        <f>Table9[[#This Row],[Rate
(Please Select from the list)]]/5</f>
        <v>0.4</v>
      </c>
      <c r="N18" s="78">
        <v>2.65</v>
      </c>
      <c r="O18" s="74">
        <f>Table9[[#This Row],[Score %]]*Table9[[#This Row],[Item Weight
(Please Select from the list)]]</f>
        <v>1.06</v>
      </c>
      <c r="P18" s="80">
        <v>4</v>
      </c>
      <c r="Q18" t="s">
        <v>15</v>
      </c>
      <c r="R18" t="s">
        <v>3832</v>
      </c>
      <c r="S18" t="s">
        <v>13</v>
      </c>
      <c r="T18" t="s">
        <v>3820</v>
      </c>
      <c r="U18" t="s">
        <v>14</v>
      </c>
      <c r="V18" t="s">
        <v>3831</v>
      </c>
      <c r="W18" s="88" t="s">
        <v>4034</v>
      </c>
    </row>
    <row r="19" spans="1:23" ht="14.4">
      <c r="A19" s="7" t="s">
        <v>1472</v>
      </c>
      <c r="B19"/>
      <c r="C19" t="s">
        <v>2417</v>
      </c>
      <c r="D19" s="7" t="s">
        <v>1764</v>
      </c>
      <c r="E19" s="7" t="s">
        <v>1765</v>
      </c>
      <c r="F19" s="7" t="s">
        <v>1766</v>
      </c>
      <c r="G19" s="7" t="s">
        <v>2584</v>
      </c>
      <c r="H19" s="85" t="s">
        <v>2753</v>
      </c>
      <c r="I19" s="85" t="s">
        <v>2754</v>
      </c>
      <c r="J19" s="85" t="s">
        <v>2755</v>
      </c>
      <c r="K19" s="85" t="s">
        <v>16</v>
      </c>
      <c r="L19" s="85">
        <v>2</v>
      </c>
      <c r="M19" s="20">
        <f>Table9[[#This Row],[Rate
(Please Select from the list)]]/5</f>
        <v>0.4</v>
      </c>
      <c r="N19" s="78">
        <v>2.65</v>
      </c>
      <c r="O19" s="74">
        <f>Table9[[#This Row],[Score %]]*Table9[[#This Row],[Item Weight
(Please Select from the list)]]</f>
        <v>1.06</v>
      </c>
      <c r="P19" s="80">
        <v>4</v>
      </c>
      <c r="Q19" t="s">
        <v>15</v>
      </c>
      <c r="R19" t="s">
        <v>3833</v>
      </c>
      <c r="S19" t="s">
        <v>13</v>
      </c>
      <c r="T19" t="s">
        <v>3820</v>
      </c>
      <c r="U19" t="s">
        <v>14</v>
      </c>
      <c r="V19" t="s">
        <v>3834</v>
      </c>
      <c r="W19" s="88" t="s">
        <v>4034</v>
      </c>
    </row>
    <row r="20" spans="1:23" ht="14.4">
      <c r="A20" s="7" t="s">
        <v>1472</v>
      </c>
      <c r="B20"/>
      <c r="C20" t="s">
        <v>121</v>
      </c>
      <c r="D20" s="7" t="s">
        <v>1767</v>
      </c>
      <c r="E20" s="7" t="s">
        <v>1768</v>
      </c>
      <c r="F20" s="7" t="s">
        <v>1769</v>
      </c>
      <c r="G20" s="7" t="s">
        <v>2584</v>
      </c>
      <c r="H20" s="85" t="s">
        <v>2756</v>
      </c>
      <c r="I20" s="85" t="s">
        <v>2725</v>
      </c>
      <c r="J20" s="85"/>
      <c r="K20" s="85" t="s">
        <v>855</v>
      </c>
      <c r="L20" s="85">
        <v>4</v>
      </c>
      <c r="M20" s="20">
        <f>Table9[[#This Row],[Rate
(Please Select from the list)]]/5</f>
        <v>0.8</v>
      </c>
      <c r="N20" s="78">
        <v>2.65</v>
      </c>
      <c r="O20" s="74">
        <f>Table9[[#This Row],[Score %]]*Table9[[#This Row],[Item Weight
(Please Select from the list)]]</f>
        <v>2.12</v>
      </c>
      <c r="P20" s="80">
        <v>4</v>
      </c>
      <c r="Q20" t="s">
        <v>46</v>
      </c>
      <c r="R20"/>
      <c r="S20" t="s">
        <v>57</v>
      </c>
      <c r="T20"/>
      <c r="U20" t="s">
        <v>58</v>
      </c>
      <c r="V20" t="s">
        <v>3812</v>
      </c>
      <c r="W20" s="88" t="s">
        <v>4034</v>
      </c>
    </row>
    <row r="21" spans="1:23" ht="14.4">
      <c r="A21" s="7" t="s">
        <v>1472</v>
      </c>
      <c r="B21"/>
      <c r="C21" t="s">
        <v>1486</v>
      </c>
      <c r="D21" s="7" t="s">
        <v>1770</v>
      </c>
      <c r="E21" s="7" t="s">
        <v>1771</v>
      </c>
      <c r="F21" s="7" t="s">
        <v>1772</v>
      </c>
      <c r="G21" s="7" t="s">
        <v>2584</v>
      </c>
      <c r="H21" s="85" t="s">
        <v>2757</v>
      </c>
      <c r="I21" s="85" t="s">
        <v>2728</v>
      </c>
      <c r="J21" s="85" t="s">
        <v>2758</v>
      </c>
      <c r="K21" s="85" t="s">
        <v>16</v>
      </c>
      <c r="L21" s="85">
        <v>3</v>
      </c>
      <c r="M21" s="20">
        <f>Table9[[#This Row],[Rate
(Please Select from the list)]]/5</f>
        <v>0.6</v>
      </c>
      <c r="N21" s="78">
        <v>2.65</v>
      </c>
      <c r="O21" s="74">
        <f>Table9[[#This Row],[Score %]]*Table9[[#This Row],[Item Weight
(Please Select from the list)]]</f>
        <v>1.5899999999999999</v>
      </c>
      <c r="P21" s="80">
        <v>4</v>
      </c>
      <c r="Q21" t="s">
        <v>46</v>
      </c>
      <c r="R21"/>
      <c r="S21" t="s">
        <v>29</v>
      </c>
      <c r="T21"/>
      <c r="U21" t="s">
        <v>44</v>
      </c>
      <c r="V21" t="s">
        <v>3813</v>
      </c>
      <c r="W21" s="88" t="s">
        <v>4034</v>
      </c>
    </row>
    <row r="22" spans="1:23" ht="14.4">
      <c r="A22" s="7" t="s">
        <v>1472</v>
      </c>
      <c r="B22"/>
      <c r="C22" t="s">
        <v>1487</v>
      </c>
      <c r="D22" s="7" t="s">
        <v>1773</v>
      </c>
      <c r="E22" s="7" t="s">
        <v>1774</v>
      </c>
      <c r="F22" s="7" t="s">
        <v>1775</v>
      </c>
      <c r="G22" s="7" t="s">
        <v>2584</v>
      </c>
      <c r="H22" s="85" t="s">
        <v>2759</v>
      </c>
      <c r="I22" s="85" t="s">
        <v>2748</v>
      </c>
      <c r="J22" s="85" t="s">
        <v>2760</v>
      </c>
      <c r="K22" s="85" t="s">
        <v>16</v>
      </c>
      <c r="L22" s="85">
        <v>3</v>
      </c>
      <c r="M22" s="20">
        <f>Table9[[#This Row],[Rate
(Please Select from the list)]]/5</f>
        <v>0.6</v>
      </c>
      <c r="N22" s="78">
        <v>2.65</v>
      </c>
      <c r="O22" s="74">
        <f>Table9[[#This Row],[Score %]]*Table9[[#This Row],[Item Weight
(Please Select from the list)]]</f>
        <v>1.5899999999999999</v>
      </c>
      <c r="P22" s="80">
        <v>4</v>
      </c>
      <c r="Q22" t="s">
        <v>15</v>
      </c>
      <c r="R22" t="s">
        <v>3835</v>
      </c>
      <c r="S22" t="s">
        <v>29</v>
      </c>
      <c r="T22" s="86">
        <v>45421</v>
      </c>
      <c r="U22" t="s">
        <v>14</v>
      </c>
      <c r="V22" t="s">
        <v>3817</v>
      </c>
      <c r="W22" s="88" t="s">
        <v>4034</v>
      </c>
    </row>
    <row r="23" spans="1:23" ht="14.4">
      <c r="A23" s="7" t="s">
        <v>1472</v>
      </c>
      <c r="B23"/>
      <c r="C23" t="s">
        <v>2418</v>
      </c>
      <c r="D23" s="7" t="s">
        <v>1776</v>
      </c>
      <c r="E23" s="7" t="s">
        <v>1777</v>
      </c>
      <c r="F23" s="7" t="s">
        <v>1778</v>
      </c>
      <c r="G23" s="7" t="s">
        <v>2584</v>
      </c>
      <c r="H23" s="85" t="s">
        <v>2761</v>
      </c>
      <c r="I23" s="85" t="s">
        <v>2716</v>
      </c>
      <c r="J23" s="85" t="s">
        <v>2762</v>
      </c>
      <c r="K23" s="85" t="s">
        <v>16</v>
      </c>
      <c r="L23" s="85">
        <v>3</v>
      </c>
      <c r="M23" s="20">
        <f>Table9[[#This Row],[Rate
(Please Select from the list)]]/5</f>
        <v>0.6</v>
      </c>
      <c r="N23" s="78">
        <v>2.65</v>
      </c>
      <c r="O23" s="74">
        <f>Table9[[#This Row],[Score %]]*Table9[[#This Row],[Item Weight
(Please Select from the list)]]</f>
        <v>1.5899999999999999</v>
      </c>
      <c r="P23" s="80">
        <v>4</v>
      </c>
      <c r="Q23" t="s">
        <v>59</v>
      </c>
      <c r="R23"/>
      <c r="S23" t="s">
        <v>43</v>
      </c>
      <c r="T23"/>
      <c r="U23" t="s">
        <v>44</v>
      </c>
      <c r="V23" t="s">
        <v>3815</v>
      </c>
      <c r="W23" s="88" t="s">
        <v>4034</v>
      </c>
    </row>
    <row r="24" spans="1:23" ht="14.4">
      <c r="A24" s="7" t="s">
        <v>1472</v>
      </c>
      <c r="B24"/>
      <c r="C24" t="s">
        <v>2419</v>
      </c>
      <c r="D24" s="7" t="s">
        <v>1779</v>
      </c>
      <c r="E24" s="7" t="s">
        <v>1780</v>
      </c>
      <c r="F24" s="7" t="s">
        <v>1781</v>
      </c>
      <c r="G24" s="7" t="s">
        <v>2584</v>
      </c>
      <c r="H24" s="85" t="s">
        <v>2763</v>
      </c>
      <c r="I24" s="85" t="s">
        <v>2754</v>
      </c>
      <c r="J24" s="85" t="s">
        <v>2764</v>
      </c>
      <c r="K24" s="85" t="s">
        <v>16</v>
      </c>
      <c r="L24" s="85">
        <v>3</v>
      </c>
      <c r="M24" s="20">
        <f>Table9[[#This Row],[Rate
(Please Select from the list)]]/5</f>
        <v>0.6</v>
      </c>
      <c r="N24" s="78">
        <v>2.65</v>
      </c>
      <c r="O24" s="74">
        <f>Table9[[#This Row],[Score %]]*Table9[[#This Row],[Item Weight
(Please Select from the list)]]</f>
        <v>1.5899999999999999</v>
      </c>
      <c r="P24" s="80">
        <v>4</v>
      </c>
      <c r="Q24" t="s">
        <v>59</v>
      </c>
      <c r="R24" t="s">
        <v>3836</v>
      </c>
      <c r="S24" t="s">
        <v>29</v>
      </c>
      <c r="T24" s="86">
        <v>45421</v>
      </c>
      <c r="U24" t="s">
        <v>30</v>
      </c>
      <c r="V24" t="s">
        <v>3815</v>
      </c>
      <c r="W24" s="88" t="s">
        <v>4034</v>
      </c>
    </row>
    <row r="25" spans="1:23" ht="14.4">
      <c r="A25" s="7" t="s">
        <v>1472</v>
      </c>
      <c r="B25"/>
      <c r="C25" t="s">
        <v>1489</v>
      </c>
      <c r="D25" s="7" t="s">
        <v>1782</v>
      </c>
      <c r="E25" s="7" t="s">
        <v>1783</v>
      </c>
      <c r="F25" s="7" t="s">
        <v>1784</v>
      </c>
      <c r="G25" s="7" t="s">
        <v>2584</v>
      </c>
      <c r="H25" s="85" t="s">
        <v>2765</v>
      </c>
      <c r="I25" s="85" t="s">
        <v>2728</v>
      </c>
      <c r="J25" s="85" t="s">
        <v>2766</v>
      </c>
      <c r="K25" s="85" t="s">
        <v>16</v>
      </c>
      <c r="L25" s="85">
        <v>3</v>
      </c>
      <c r="M25" s="20">
        <f>Table9[[#This Row],[Rate
(Please Select from the list)]]/5</f>
        <v>0.6</v>
      </c>
      <c r="N25" s="78">
        <v>2.65</v>
      </c>
      <c r="O25" s="74">
        <f>Table9[[#This Row],[Score %]]*Table9[[#This Row],[Item Weight
(Please Select from the list)]]</f>
        <v>1.5899999999999999</v>
      </c>
      <c r="P25" s="80">
        <v>4</v>
      </c>
      <c r="Q25" t="s">
        <v>15</v>
      </c>
      <c r="R25" t="s">
        <v>3837</v>
      </c>
      <c r="S25" t="s">
        <v>29</v>
      </c>
      <c r="T25" s="86">
        <v>45421</v>
      </c>
      <c r="U25" t="s">
        <v>30</v>
      </c>
      <c r="V25" t="s">
        <v>3817</v>
      </c>
      <c r="W25" s="88" t="s">
        <v>4034</v>
      </c>
    </row>
    <row r="26" spans="1:23" ht="14.4">
      <c r="A26" s="7" t="s">
        <v>1472</v>
      </c>
      <c r="B26"/>
      <c r="C26" t="s">
        <v>2420</v>
      </c>
      <c r="D26" s="7" t="s">
        <v>1785</v>
      </c>
      <c r="E26" s="7" t="s">
        <v>1786</v>
      </c>
      <c r="F26" s="7" t="s">
        <v>1787</v>
      </c>
      <c r="G26" s="7" t="s">
        <v>2584</v>
      </c>
      <c r="H26" s="85" t="s">
        <v>2767</v>
      </c>
      <c r="I26" s="85" t="s">
        <v>2716</v>
      </c>
      <c r="J26" s="85" t="s">
        <v>2768</v>
      </c>
      <c r="K26" s="85" t="s">
        <v>16</v>
      </c>
      <c r="L26" s="85">
        <v>2</v>
      </c>
      <c r="M26" s="20">
        <f>Table9[[#This Row],[Rate
(Please Select from the list)]]/5</f>
        <v>0.4</v>
      </c>
      <c r="N26" s="78">
        <v>2.65</v>
      </c>
      <c r="O26" s="74">
        <f>Table9[[#This Row],[Score %]]*Table9[[#This Row],[Item Weight
(Please Select from the list)]]</f>
        <v>1.06</v>
      </c>
      <c r="P26" s="80">
        <v>4</v>
      </c>
      <c r="Q26" t="s">
        <v>15</v>
      </c>
      <c r="R26" t="s">
        <v>3838</v>
      </c>
      <c r="S26" t="s">
        <v>13</v>
      </c>
      <c r="T26" t="s">
        <v>3820</v>
      </c>
      <c r="U26" t="s">
        <v>30</v>
      </c>
      <c r="V26" t="s">
        <v>3831</v>
      </c>
      <c r="W26" s="88" t="s">
        <v>4034</v>
      </c>
    </row>
    <row r="27" spans="1:23" ht="14.4">
      <c r="A27" s="7" t="s">
        <v>1472</v>
      </c>
      <c r="B27"/>
      <c r="C27" t="s">
        <v>2421</v>
      </c>
      <c r="D27" s="7" t="s">
        <v>1788</v>
      </c>
      <c r="E27" s="7" t="s">
        <v>1789</v>
      </c>
      <c r="F27" s="7" t="s">
        <v>1790</v>
      </c>
      <c r="G27" s="7" t="s">
        <v>2584</v>
      </c>
      <c r="H27" s="85" t="s">
        <v>2769</v>
      </c>
      <c r="I27" s="85" t="s">
        <v>2739</v>
      </c>
      <c r="J27" s="85" t="s">
        <v>2770</v>
      </c>
      <c r="K27" s="85" t="s">
        <v>16</v>
      </c>
      <c r="L27" s="85">
        <v>3</v>
      </c>
      <c r="M27" s="20">
        <f>Table9[[#This Row],[Rate
(Please Select from the list)]]/5</f>
        <v>0.6</v>
      </c>
      <c r="N27" s="78">
        <v>2.65</v>
      </c>
      <c r="O27" s="74">
        <f>Table9[[#This Row],[Score %]]*Table9[[#This Row],[Item Weight
(Please Select from the list)]]</f>
        <v>1.5899999999999999</v>
      </c>
      <c r="P27" s="80">
        <v>4</v>
      </c>
      <c r="Q27" t="s">
        <v>59</v>
      </c>
      <c r="R27"/>
      <c r="S27" t="s">
        <v>43</v>
      </c>
      <c r="T27"/>
      <c r="U27" t="s">
        <v>44</v>
      </c>
      <c r="V27" t="s">
        <v>3839</v>
      </c>
      <c r="W27" s="88" t="s">
        <v>4034</v>
      </c>
    </row>
    <row r="28" spans="1:23" ht="14.4">
      <c r="A28" s="7" t="s">
        <v>1472</v>
      </c>
      <c r="B28"/>
      <c r="C28" t="s">
        <v>2422</v>
      </c>
      <c r="D28" s="7" t="s">
        <v>1791</v>
      </c>
      <c r="E28" s="7" t="s">
        <v>1792</v>
      </c>
      <c r="F28" s="7" t="s">
        <v>1793</v>
      </c>
      <c r="G28" s="7" t="s">
        <v>2584</v>
      </c>
      <c r="H28" s="85" t="s">
        <v>2771</v>
      </c>
      <c r="I28" s="85" t="s">
        <v>2754</v>
      </c>
      <c r="J28" s="85" t="s">
        <v>2772</v>
      </c>
      <c r="K28" s="85" t="s">
        <v>16</v>
      </c>
      <c r="L28" s="85">
        <v>3</v>
      </c>
      <c r="M28" s="20">
        <f>Table9[[#This Row],[Rate
(Please Select from the list)]]/5</f>
        <v>0.6</v>
      </c>
      <c r="N28" s="78">
        <v>2.65</v>
      </c>
      <c r="O28" s="74">
        <f>Table9[[#This Row],[Score %]]*Table9[[#This Row],[Item Weight
(Please Select from the list)]]</f>
        <v>1.5899999999999999</v>
      </c>
      <c r="P28" s="80">
        <v>4</v>
      </c>
      <c r="Q28" t="s">
        <v>46</v>
      </c>
      <c r="R28" t="s">
        <v>3840</v>
      </c>
      <c r="S28" t="s">
        <v>29</v>
      </c>
      <c r="T28" s="86">
        <v>45421</v>
      </c>
      <c r="U28" t="s">
        <v>14</v>
      </c>
      <c r="V28" t="s">
        <v>3839</v>
      </c>
      <c r="W28" s="88" t="s">
        <v>4034</v>
      </c>
    </row>
    <row r="29" spans="1:23" ht="14.4">
      <c r="A29" s="7" t="s">
        <v>1472</v>
      </c>
      <c r="B29"/>
      <c r="C29" t="s">
        <v>2423</v>
      </c>
      <c r="D29" s="7" t="s">
        <v>1794</v>
      </c>
      <c r="E29" s="7" t="s">
        <v>1795</v>
      </c>
      <c r="F29" s="7" t="s">
        <v>1796</v>
      </c>
      <c r="G29" s="7" t="s">
        <v>2584</v>
      </c>
      <c r="H29" s="85" t="s">
        <v>2773</v>
      </c>
      <c r="I29" s="85" t="s">
        <v>2739</v>
      </c>
      <c r="J29" s="85" t="s">
        <v>2774</v>
      </c>
      <c r="K29" s="85" t="s">
        <v>16</v>
      </c>
      <c r="L29" s="85">
        <v>1</v>
      </c>
      <c r="M29" s="20">
        <f>Table9[[#This Row],[Rate
(Please Select from the list)]]/5</f>
        <v>0.2</v>
      </c>
      <c r="N29" s="78">
        <v>3.31</v>
      </c>
      <c r="O29" s="74">
        <f>Table9[[#This Row],[Score %]]*Table9[[#This Row],[Item Weight
(Please Select from the list)]]</f>
        <v>0.66200000000000003</v>
      </c>
      <c r="P29" s="80">
        <v>5</v>
      </c>
      <c r="Q29" t="s">
        <v>46</v>
      </c>
      <c r="R29" t="s">
        <v>3841</v>
      </c>
      <c r="S29" t="s">
        <v>13</v>
      </c>
      <c r="T29" t="s">
        <v>3820</v>
      </c>
      <c r="U29" t="s">
        <v>14</v>
      </c>
      <c r="V29" t="s">
        <v>3842</v>
      </c>
      <c r="W29" s="88" t="s">
        <v>4034</v>
      </c>
    </row>
    <row r="30" spans="1:23" ht="14.4">
      <c r="A30" s="7" t="s">
        <v>1472</v>
      </c>
      <c r="B30" t="s">
        <v>1473</v>
      </c>
      <c r="C30" t="s">
        <v>1575</v>
      </c>
      <c r="D30" s="7" t="s">
        <v>1797</v>
      </c>
      <c r="E30" s="7" t="s">
        <v>1798</v>
      </c>
      <c r="F30" s="7" t="s">
        <v>1799</v>
      </c>
      <c r="G30" s="7" t="s">
        <v>2584</v>
      </c>
      <c r="H30" s="85" t="s">
        <v>2775</v>
      </c>
      <c r="I30" s="85" t="s">
        <v>2739</v>
      </c>
      <c r="J30" s="85" t="s">
        <v>2776</v>
      </c>
      <c r="K30" s="85" t="s">
        <v>16</v>
      </c>
      <c r="L30" s="85">
        <v>3</v>
      </c>
      <c r="M30" s="20">
        <f>Table9[[#This Row],[Rate
(Please Select from the list)]]/5</f>
        <v>0.6</v>
      </c>
      <c r="N30" s="78">
        <v>2.65</v>
      </c>
      <c r="O30" s="74">
        <f>Table9[[#This Row],[Score %]]*Table9[[#This Row],[Item Weight
(Please Select from the list)]]</f>
        <v>1.5899999999999999</v>
      </c>
      <c r="P30" s="80">
        <v>4</v>
      </c>
      <c r="Q30" t="s">
        <v>59</v>
      </c>
      <c r="R30" t="s">
        <v>3843</v>
      </c>
      <c r="S30" t="s">
        <v>43</v>
      </c>
      <c r="T30" t="s">
        <v>3844</v>
      </c>
      <c r="U30" t="s">
        <v>30</v>
      </c>
      <c r="V30" t="s">
        <v>3815</v>
      </c>
      <c r="W30" s="88" t="s">
        <v>4034</v>
      </c>
    </row>
    <row r="31" spans="1:23" ht="14.4">
      <c r="A31" s="7" t="s">
        <v>1472</v>
      </c>
      <c r="B31" t="s">
        <v>1488</v>
      </c>
      <c r="C31" t="s">
        <v>1475</v>
      </c>
      <c r="D31" s="7" t="s">
        <v>1800</v>
      </c>
      <c r="E31" s="7" t="s">
        <v>1801</v>
      </c>
      <c r="F31" s="7" t="s">
        <v>1802</v>
      </c>
      <c r="G31" s="7" t="s">
        <v>2584</v>
      </c>
      <c r="H31" s="85" t="s">
        <v>2777</v>
      </c>
      <c r="I31" s="85" t="s">
        <v>2725</v>
      </c>
      <c r="J31" s="85" t="s">
        <v>2778</v>
      </c>
      <c r="K31" s="85" t="s">
        <v>16</v>
      </c>
      <c r="L31" s="85">
        <v>3</v>
      </c>
      <c r="M31" s="20">
        <f>Table9[[#This Row],[Rate
(Please Select from the list)]]/5</f>
        <v>0.6</v>
      </c>
      <c r="N31" s="78">
        <v>3.31</v>
      </c>
      <c r="O31" s="74">
        <f>Table9[[#This Row],[Score %]]*Table9[[#This Row],[Item Weight
(Please Select from the list)]]</f>
        <v>1.986</v>
      </c>
      <c r="P31" s="80">
        <v>5</v>
      </c>
      <c r="Q31" t="s">
        <v>46</v>
      </c>
      <c r="R31"/>
      <c r="S31" t="s">
        <v>29</v>
      </c>
      <c r="T31"/>
      <c r="U31" t="s">
        <v>44</v>
      </c>
      <c r="V31" t="s">
        <v>3815</v>
      </c>
      <c r="W31" s="88" t="s">
        <v>4034</v>
      </c>
    </row>
    <row r="32" spans="1:23" ht="14.4">
      <c r="A32" s="7" t="s">
        <v>1472</v>
      </c>
      <c r="B32"/>
      <c r="C32" t="s">
        <v>1484</v>
      </c>
      <c r="D32" s="7" t="s">
        <v>1803</v>
      </c>
      <c r="E32" s="7" t="s">
        <v>1804</v>
      </c>
      <c r="F32" s="7" t="s">
        <v>1805</v>
      </c>
      <c r="G32" s="7" t="s">
        <v>2584</v>
      </c>
      <c r="H32" s="85" t="s">
        <v>2779</v>
      </c>
      <c r="I32" s="85" t="s">
        <v>2731</v>
      </c>
      <c r="J32" s="85" t="s">
        <v>2780</v>
      </c>
      <c r="K32" s="85" t="s">
        <v>16</v>
      </c>
      <c r="L32" s="85">
        <v>1</v>
      </c>
      <c r="M32" s="20">
        <f>Table9[[#This Row],[Rate
(Please Select from the list)]]/5</f>
        <v>0.2</v>
      </c>
      <c r="N32" s="78">
        <v>2.65</v>
      </c>
      <c r="O32" s="74">
        <f>Table9[[#This Row],[Score %]]*Table9[[#This Row],[Item Weight
(Please Select from the list)]]</f>
        <v>0.53</v>
      </c>
      <c r="P32" s="80">
        <v>4</v>
      </c>
      <c r="Q32" t="s">
        <v>46</v>
      </c>
      <c r="R32" t="s">
        <v>3845</v>
      </c>
      <c r="S32" t="s">
        <v>13</v>
      </c>
      <c r="T32" t="s">
        <v>3820</v>
      </c>
      <c r="U32" t="s">
        <v>30</v>
      </c>
      <c r="V32" t="s">
        <v>3842</v>
      </c>
      <c r="W32" s="88" t="s">
        <v>4034</v>
      </c>
    </row>
    <row r="33" spans="1:23" ht="14.4">
      <c r="A33" s="7" t="s">
        <v>1472</v>
      </c>
      <c r="B33" t="s">
        <v>2416</v>
      </c>
      <c r="C33" t="s">
        <v>1576</v>
      </c>
      <c r="D33" s="7" t="s">
        <v>1806</v>
      </c>
      <c r="E33" s="7" t="s">
        <v>1807</v>
      </c>
      <c r="F33" s="7" t="s">
        <v>1808</v>
      </c>
      <c r="G33" s="7" t="s">
        <v>2584</v>
      </c>
      <c r="H33" s="85" t="s">
        <v>2781</v>
      </c>
      <c r="I33" s="85" t="s">
        <v>2754</v>
      </c>
      <c r="J33" s="85" t="s">
        <v>2782</v>
      </c>
      <c r="K33" s="85" t="s">
        <v>16</v>
      </c>
      <c r="L33" s="85">
        <v>3</v>
      </c>
      <c r="M33" s="20">
        <f>Table9[[#This Row],[Rate
(Please Select from the list)]]/5</f>
        <v>0.6</v>
      </c>
      <c r="N33" s="78">
        <v>3.31</v>
      </c>
      <c r="O33" s="74">
        <f>Table9[[#This Row],[Score %]]*Table9[[#This Row],[Item Weight
(Please Select from the list)]]</f>
        <v>1.986</v>
      </c>
      <c r="P33" s="80">
        <v>5</v>
      </c>
      <c r="Q33" t="s">
        <v>59</v>
      </c>
      <c r="R33"/>
      <c r="S33" t="s">
        <v>43</v>
      </c>
      <c r="T33"/>
      <c r="U33" t="s">
        <v>58</v>
      </c>
      <c r="V33" t="s">
        <v>3825</v>
      </c>
      <c r="W33" s="88" t="s">
        <v>4034</v>
      </c>
    </row>
    <row r="34" spans="1:23" ht="14.4">
      <c r="A34" s="7" t="s">
        <v>1472</v>
      </c>
      <c r="B34" t="s">
        <v>1473</v>
      </c>
      <c r="C34" t="s">
        <v>1575</v>
      </c>
      <c r="D34" s="7" t="s">
        <v>1809</v>
      </c>
      <c r="E34" s="7" t="s">
        <v>1810</v>
      </c>
      <c r="F34" s="7" t="s">
        <v>1811</v>
      </c>
      <c r="G34" s="7" t="s">
        <v>2584</v>
      </c>
      <c r="H34" s="85" t="s">
        <v>2783</v>
      </c>
      <c r="I34" s="85" t="s">
        <v>2748</v>
      </c>
      <c r="J34" s="85" t="s">
        <v>2784</v>
      </c>
      <c r="K34" s="85" t="s">
        <v>16</v>
      </c>
      <c r="L34" s="85">
        <v>2</v>
      </c>
      <c r="M34" s="20">
        <f>Table9[[#This Row],[Rate
(Please Select from the list)]]/5</f>
        <v>0.4</v>
      </c>
      <c r="N34" s="78">
        <v>2.65</v>
      </c>
      <c r="O34" s="74">
        <f>Table9[[#This Row],[Score %]]*Table9[[#This Row],[Item Weight
(Please Select from the list)]]</f>
        <v>1.06</v>
      </c>
      <c r="P34" s="80">
        <v>4</v>
      </c>
      <c r="Q34" t="s">
        <v>46</v>
      </c>
      <c r="R34" t="s">
        <v>3846</v>
      </c>
      <c r="S34" t="s">
        <v>29</v>
      </c>
      <c r="T34" s="86">
        <v>45421</v>
      </c>
      <c r="U34" t="s">
        <v>30</v>
      </c>
      <c r="V34" t="s">
        <v>3847</v>
      </c>
      <c r="W34" s="88" t="s">
        <v>4034</v>
      </c>
    </row>
    <row r="35" spans="1:23" ht="14.4">
      <c r="A35" s="7" t="s">
        <v>1472</v>
      </c>
      <c r="B35" t="s">
        <v>1473</v>
      </c>
      <c r="C35" t="s">
        <v>1575</v>
      </c>
      <c r="D35" s="7" t="s">
        <v>1812</v>
      </c>
      <c r="E35" s="7" t="s">
        <v>1813</v>
      </c>
      <c r="F35" s="7" t="s">
        <v>1814</v>
      </c>
      <c r="G35" s="7" t="s">
        <v>2584</v>
      </c>
      <c r="H35" s="85" t="s">
        <v>2785</v>
      </c>
      <c r="I35" s="85" t="s">
        <v>2739</v>
      </c>
      <c r="J35" s="85" t="s">
        <v>2786</v>
      </c>
      <c r="K35" s="85" t="s">
        <v>16</v>
      </c>
      <c r="L35" s="85">
        <v>3</v>
      </c>
      <c r="M35" s="20">
        <f>Table9[[#This Row],[Rate
(Please Select from the list)]]/5</f>
        <v>0.6</v>
      </c>
      <c r="N35" s="78">
        <v>2.65</v>
      </c>
      <c r="O35" s="74">
        <f>Table9[[#This Row],[Score %]]*Table9[[#This Row],[Item Weight
(Please Select from the list)]]</f>
        <v>1.5899999999999999</v>
      </c>
      <c r="P35" s="80">
        <v>4</v>
      </c>
      <c r="Q35" t="s">
        <v>15</v>
      </c>
      <c r="R35" t="s">
        <v>3848</v>
      </c>
      <c r="S35" t="s">
        <v>29</v>
      </c>
      <c r="T35" s="86">
        <v>45421</v>
      </c>
      <c r="U35" t="s">
        <v>30</v>
      </c>
      <c r="V35" t="s">
        <v>3825</v>
      </c>
      <c r="W35" s="88" t="s">
        <v>4034</v>
      </c>
    </row>
    <row r="36" spans="1:23" ht="14.4">
      <c r="A36" s="7" t="s">
        <v>1472</v>
      </c>
      <c r="B36"/>
      <c r="C36" t="s">
        <v>1534</v>
      </c>
      <c r="D36" s="7" t="s">
        <v>1815</v>
      </c>
      <c r="E36" s="7" t="s">
        <v>1816</v>
      </c>
      <c r="F36" s="7" t="s">
        <v>1817</v>
      </c>
      <c r="G36" s="7" t="s">
        <v>2584</v>
      </c>
      <c r="H36" s="85" t="s">
        <v>2787</v>
      </c>
      <c r="I36" s="85" t="s">
        <v>2739</v>
      </c>
      <c r="J36" s="85" t="s">
        <v>2788</v>
      </c>
      <c r="K36" s="85" t="s">
        <v>16</v>
      </c>
      <c r="L36" s="85">
        <v>3</v>
      </c>
      <c r="M36" s="20">
        <f>Table9[[#This Row],[Rate
(Please Select from the list)]]/5</f>
        <v>0.6</v>
      </c>
      <c r="N36" s="78">
        <v>2.65</v>
      </c>
      <c r="O36" s="74">
        <f>Table9[[#This Row],[Score %]]*Table9[[#This Row],[Item Weight
(Please Select from the list)]]</f>
        <v>1.5899999999999999</v>
      </c>
      <c r="P36" s="80">
        <v>4</v>
      </c>
      <c r="Q36" t="s">
        <v>59</v>
      </c>
      <c r="R36"/>
      <c r="S36" t="s">
        <v>43</v>
      </c>
      <c r="T36"/>
      <c r="U36" t="s">
        <v>58</v>
      </c>
      <c r="V36" t="s">
        <v>3825</v>
      </c>
      <c r="W36" s="88" t="s">
        <v>4034</v>
      </c>
    </row>
    <row r="37" spans="1:23" ht="14.4">
      <c r="A37" s="7" t="s">
        <v>17</v>
      </c>
      <c r="B37" t="s">
        <v>2429</v>
      </c>
      <c r="C37" t="s">
        <v>74</v>
      </c>
      <c r="D37" s="7" t="s">
        <v>149</v>
      </c>
      <c r="E37" s="7" t="s">
        <v>150</v>
      </c>
      <c r="F37" s="7" t="s">
        <v>151</v>
      </c>
      <c r="G37" s="7" t="s">
        <v>2584</v>
      </c>
      <c r="H37" s="85" t="s">
        <v>2789</v>
      </c>
      <c r="I37" s="85" t="s">
        <v>2754</v>
      </c>
      <c r="J37" s="85" t="s">
        <v>2790</v>
      </c>
      <c r="K37" s="85" t="s">
        <v>16</v>
      </c>
      <c r="L37" s="85">
        <v>2</v>
      </c>
      <c r="M37" s="20">
        <f>Table9[[#This Row],[Rate
(Please Select from the list)]]/5</f>
        <v>0.4</v>
      </c>
      <c r="N37" s="78">
        <v>3.31</v>
      </c>
      <c r="O37" s="74">
        <f>Table9[[#This Row],[Score %]]*Table9[[#This Row],[Item Weight
(Please Select from the list)]]</f>
        <v>1.3240000000000001</v>
      </c>
      <c r="P37" s="80">
        <v>4</v>
      </c>
      <c r="Q37" t="s">
        <v>15</v>
      </c>
      <c r="R37" t="s">
        <v>3849</v>
      </c>
      <c r="S37" t="s">
        <v>13</v>
      </c>
      <c r="T37" t="s">
        <v>3820</v>
      </c>
      <c r="U37" t="s">
        <v>30</v>
      </c>
      <c r="V37" t="s">
        <v>3834</v>
      </c>
      <c r="W37" s="88" t="s">
        <v>4034</v>
      </c>
    </row>
    <row r="38" spans="1:23" ht="14.4">
      <c r="A38" s="7" t="s">
        <v>17</v>
      </c>
      <c r="B38" t="s">
        <v>2429</v>
      </c>
      <c r="C38" t="s">
        <v>74</v>
      </c>
      <c r="D38" s="7" t="s">
        <v>152</v>
      </c>
      <c r="E38" s="7" t="s">
        <v>153</v>
      </c>
      <c r="F38" s="7" t="s">
        <v>154</v>
      </c>
      <c r="G38" s="7" t="s">
        <v>2584</v>
      </c>
      <c r="H38" s="85" t="s">
        <v>2791</v>
      </c>
      <c r="I38" s="85" t="s">
        <v>2754</v>
      </c>
      <c r="J38" s="85"/>
      <c r="K38" s="85" t="s">
        <v>47</v>
      </c>
      <c r="L38" s="85">
        <v>4</v>
      </c>
      <c r="M38" s="20">
        <f>Table9[[#This Row],[Rate
(Please Select from the list)]]/5</f>
        <v>0.8</v>
      </c>
      <c r="N38" s="78">
        <v>3.31</v>
      </c>
      <c r="O38" s="74">
        <f>Table9[[#This Row],[Score %]]*Table9[[#This Row],[Item Weight
(Please Select from the list)]]</f>
        <v>2.6480000000000001</v>
      </c>
      <c r="P38" s="80">
        <v>4</v>
      </c>
      <c r="Q38" t="s">
        <v>15</v>
      </c>
      <c r="R38"/>
      <c r="S38" t="s">
        <v>43</v>
      </c>
      <c r="T38"/>
      <c r="U38" t="s">
        <v>58</v>
      </c>
      <c r="V38" t="s">
        <v>3812</v>
      </c>
      <c r="W38" s="88" t="s">
        <v>4034</v>
      </c>
    </row>
    <row r="39" spans="1:23" ht="14.4">
      <c r="A39" s="7" t="s">
        <v>17</v>
      </c>
      <c r="B39" t="s">
        <v>2429</v>
      </c>
      <c r="C39" t="s">
        <v>74</v>
      </c>
      <c r="D39" s="7" t="s">
        <v>155</v>
      </c>
      <c r="E39" s="7" t="s">
        <v>156</v>
      </c>
      <c r="F39" s="7" t="s">
        <v>157</v>
      </c>
      <c r="G39" s="7" t="s">
        <v>2584</v>
      </c>
      <c r="H39" s="85" t="s">
        <v>2792</v>
      </c>
      <c r="I39" s="85" t="s">
        <v>2748</v>
      </c>
      <c r="J39" s="85"/>
      <c r="K39" s="85" t="s">
        <v>16</v>
      </c>
      <c r="L39" s="85">
        <v>4</v>
      </c>
      <c r="M39" s="20">
        <f>Table9[[#This Row],[Rate
(Please Select from the list)]]/5</f>
        <v>0.8</v>
      </c>
      <c r="N39" s="78">
        <v>3.31</v>
      </c>
      <c r="O39" s="74">
        <f>Table9[[#This Row],[Score %]]*Table9[[#This Row],[Item Weight
(Please Select from the list)]]</f>
        <v>2.6480000000000001</v>
      </c>
      <c r="P39" s="80">
        <v>4</v>
      </c>
      <c r="Q39" t="s">
        <v>46</v>
      </c>
      <c r="R39"/>
      <c r="S39" t="s">
        <v>43</v>
      </c>
      <c r="T39"/>
      <c r="U39" t="s">
        <v>44</v>
      </c>
      <c r="V39" t="s">
        <v>3812</v>
      </c>
      <c r="W39" s="88" t="s">
        <v>4034</v>
      </c>
    </row>
    <row r="40" spans="1:23" ht="14.4">
      <c r="A40" s="7" t="s">
        <v>17</v>
      </c>
      <c r="B40" t="s">
        <v>52</v>
      </c>
      <c r="C40" t="s">
        <v>2432</v>
      </c>
      <c r="D40" s="7" t="s">
        <v>158</v>
      </c>
      <c r="E40" s="7" t="s">
        <v>159</v>
      </c>
      <c r="F40" s="7" t="s">
        <v>160</v>
      </c>
      <c r="G40" s="7" t="s">
        <v>2584</v>
      </c>
      <c r="H40" s="85" t="s">
        <v>2793</v>
      </c>
      <c r="I40" s="85" t="s">
        <v>2718</v>
      </c>
      <c r="J40" s="85"/>
      <c r="K40" s="85" t="s">
        <v>16</v>
      </c>
      <c r="L40" s="85">
        <v>4</v>
      </c>
      <c r="M40" s="20">
        <f>Table9[[#This Row],[Rate
(Please Select from the list)]]/5</f>
        <v>0.8</v>
      </c>
      <c r="N40" s="78">
        <v>3.31</v>
      </c>
      <c r="O40" s="74">
        <f>Table9[[#This Row],[Score %]]*Table9[[#This Row],[Item Weight
(Please Select from the list)]]</f>
        <v>2.6480000000000001</v>
      </c>
      <c r="P40" s="80">
        <v>4</v>
      </c>
      <c r="Q40" t="s">
        <v>59</v>
      </c>
      <c r="R40" t="s">
        <v>3850</v>
      </c>
      <c r="S40" t="s">
        <v>43</v>
      </c>
      <c r="T40" t="s">
        <v>3844</v>
      </c>
      <c r="U40" t="s">
        <v>30</v>
      </c>
      <c r="V40" t="s">
        <v>3812</v>
      </c>
      <c r="W40" s="88" t="s">
        <v>4034</v>
      </c>
    </row>
    <row r="41" spans="1:23" ht="14.4">
      <c r="A41" s="7" t="s">
        <v>17</v>
      </c>
      <c r="B41" t="s">
        <v>1488</v>
      </c>
      <c r="C41" t="s">
        <v>2434</v>
      </c>
      <c r="D41" s="7" t="s">
        <v>161</v>
      </c>
      <c r="E41" s="7" t="s">
        <v>162</v>
      </c>
      <c r="F41" s="7" t="s">
        <v>163</v>
      </c>
      <c r="G41" s="7" t="s">
        <v>2584</v>
      </c>
      <c r="H41" s="85" t="s">
        <v>2794</v>
      </c>
      <c r="I41" s="85" t="s">
        <v>2795</v>
      </c>
      <c r="J41" s="85"/>
      <c r="K41" s="85" t="s">
        <v>855</v>
      </c>
      <c r="L41" s="85">
        <v>5</v>
      </c>
      <c r="M41" s="20">
        <f>Table9[[#This Row],[Rate
(Please Select from the list)]]/5</f>
        <v>1</v>
      </c>
      <c r="N41" s="78">
        <v>4.13</v>
      </c>
      <c r="O41" s="74">
        <f>Table9[[#This Row],[Score %]]*Table9[[#This Row],[Item Weight
(Please Select from the list)]]</f>
        <v>4.13</v>
      </c>
      <c r="P41" s="80">
        <v>5</v>
      </c>
      <c r="Q41" t="s">
        <v>46</v>
      </c>
      <c r="R41"/>
      <c r="S41" t="s">
        <v>57</v>
      </c>
      <c r="T41"/>
      <c r="U41" t="s">
        <v>58</v>
      </c>
      <c r="V41" t="s">
        <v>3851</v>
      </c>
      <c r="W41" s="88" t="s">
        <v>4034</v>
      </c>
    </row>
    <row r="42" spans="1:23" ht="14.4">
      <c r="A42" s="7" t="s">
        <v>17</v>
      </c>
      <c r="B42" t="s">
        <v>91</v>
      </c>
      <c r="C42" t="s">
        <v>2437</v>
      </c>
      <c r="D42" s="7" t="s">
        <v>164</v>
      </c>
      <c r="E42" s="7" t="s">
        <v>165</v>
      </c>
      <c r="F42" s="7" t="s">
        <v>166</v>
      </c>
      <c r="G42" s="7" t="s">
        <v>2584</v>
      </c>
      <c r="H42" s="85" t="s">
        <v>2796</v>
      </c>
      <c r="I42" s="85" t="s">
        <v>2728</v>
      </c>
      <c r="J42" s="85" t="s">
        <v>2797</v>
      </c>
      <c r="K42" s="85" t="s">
        <v>16</v>
      </c>
      <c r="L42" s="85">
        <v>3</v>
      </c>
      <c r="M42" s="20">
        <f>Table9[[#This Row],[Rate
(Please Select from the list)]]/5</f>
        <v>0.6</v>
      </c>
      <c r="N42" s="78">
        <v>3.31</v>
      </c>
      <c r="O42" s="74">
        <f>Table9[[#This Row],[Score %]]*Table9[[#This Row],[Item Weight
(Please Select from the list)]]</f>
        <v>1.986</v>
      </c>
      <c r="P42" s="80">
        <v>4</v>
      </c>
      <c r="Q42" t="s">
        <v>3852</v>
      </c>
      <c r="R42" t="s">
        <v>3853</v>
      </c>
      <c r="S42" t="s">
        <v>29</v>
      </c>
      <c r="T42" s="86">
        <v>45421</v>
      </c>
      <c r="U42" t="s">
        <v>30</v>
      </c>
      <c r="V42" t="s">
        <v>3815</v>
      </c>
      <c r="W42" s="88" t="s">
        <v>4034</v>
      </c>
    </row>
    <row r="43" spans="1:23" ht="14.4">
      <c r="A43" s="7" t="s">
        <v>17</v>
      </c>
      <c r="B43" t="s">
        <v>2429</v>
      </c>
      <c r="C43" t="s">
        <v>74</v>
      </c>
      <c r="D43" s="7" t="s">
        <v>167</v>
      </c>
      <c r="E43" s="7" t="s">
        <v>168</v>
      </c>
      <c r="F43" s="7" t="s">
        <v>169</v>
      </c>
      <c r="G43" s="7" t="s">
        <v>2584</v>
      </c>
      <c r="H43" s="85" t="s">
        <v>2798</v>
      </c>
      <c r="I43" s="85" t="s">
        <v>2754</v>
      </c>
      <c r="J43" s="85"/>
      <c r="K43" s="85" t="s">
        <v>855</v>
      </c>
      <c r="L43" s="85">
        <v>4</v>
      </c>
      <c r="M43" s="20">
        <f>Table9[[#This Row],[Rate
(Please Select from the list)]]/5</f>
        <v>0.8</v>
      </c>
      <c r="N43" s="78">
        <v>3.31</v>
      </c>
      <c r="O43" s="74">
        <f>Table9[[#This Row],[Score %]]*Table9[[#This Row],[Item Weight
(Please Select from the list)]]</f>
        <v>2.6480000000000001</v>
      </c>
      <c r="P43" s="80">
        <v>4</v>
      </c>
      <c r="Q43" t="s">
        <v>59</v>
      </c>
      <c r="R43"/>
      <c r="S43" t="s">
        <v>43</v>
      </c>
      <c r="T43"/>
      <c r="U43" t="s">
        <v>44</v>
      </c>
      <c r="V43" t="s">
        <v>3812</v>
      </c>
      <c r="W43" s="88" t="s">
        <v>4034</v>
      </c>
    </row>
    <row r="44" spans="1:23" ht="14.4">
      <c r="A44" s="7" t="s">
        <v>17</v>
      </c>
      <c r="B44" t="s">
        <v>82</v>
      </c>
      <c r="C44" t="s">
        <v>2435</v>
      </c>
      <c r="D44" s="7" t="s">
        <v>170</v>
      </c>
      <c r="E44" s="7" t="s">
        <v>171</v>
      </c>
      <c r="F44" s="7" t="s">
        <v>172</v>
      </c>
      <c r="G44" s="7" t="s">
        <v>2584</v>
      </c>
      <c r="H44" s="85" t="s">
        <v>2799</v>
      </c>
      <c r="I44" s="85" t="s">
        <v>2718</v>
      </c>
      <c r="J44" s="85" t="s">
        <v>2800</v>
      </c>
      <c r="K44" s="85" t="s">
        <v>16</v>
      </c>
      <c r="L44" s="85">
        <v>2</v>
      </c>
      <c r="M44" s="20">
        <f>Table9[[#This Row],[Rate
(Please Select from the list)]]/5</f>
        <v>0.4</v>
      </c>
      <c r="N44" s="78">
        <v>4.13</v>
      </c>
      <c r="O44" s="74">
        <f>Table9[[#This Row],[Score %]]*Table9[[#This Row],[Item Weight
(Please Select from the list)]]</f>
        <v>1.6520000000000001</v>
      </c>
      <c r="P44" s="80">
        <v>5</v>
      </c>
      <c r="Q44" t="s">
        <v>46</v>
      </c>
      <c r="R44" t="s">
        <v>3854</v>
      </c>
      <c r="S44" t="s">
        <v>13</v>
      </c>
      <c r="T44" t="s">
        <v>3820</v>
      </c>
      <c r="U44" t="s">
        <v>14</v>
      </c>
      <c r="V44" t="s">
        <v>3831</v>
      </c>
      <c r="W44" s="88" t="s">
        <v>4034</v>
      </c>
    </row>
    <row r="45" spans="1:23" ht="14.4">
      <c r="A45" s="7" t="s">
        <v>17</v>
      </c>
      <c r="B45"/>
      <c r="C45" t="s">
        <v>2438</v>
      </c>
      <c r="D45" s="7" t="s">
        <v>173</v>
      </c>
      <c r="E45" s="7" t="s">
        <v>174</v>
      </c>
      <c r="F45" s="7" t="s">
        <v>175</v>
      </c>
      <c r="G45" s="7" t="s">
        <v>2584</v>
      </c>
      <c r="H45" s="85" t="s">
        <v>2801</v>
      </c>
      <c r="I45" s="85" t="s">
        <v>2716</v>
      </c>
      <c r="J45" s="85" t="s">
        <v>2802</v>
      </c>
      <c r="K45" s="85" t="s">
        <v>16</v>
      </c>
      <c r="L45" s="85">
        <v>3</v>
      </c>
      <c r="M45" s="20">
        <f>Table9[[#This Row],[Rate
(Please Select from the list)]]/5</f>
        <v>0.6</v>
      </c>
      <c r="N45" s="78">
        <v>3.31</v>
      </c>
      <c r="O45" s="74">
        <f>Table9[[#This Row],[Score %]]*Table9[[#This Row],[Item Weight
(Please Select from the list)]]</f>
        <v>1.986</v>
      </c>
      <c r="P45" s="80">
        <v>4</v>
      </c>
      <c r="Q45" t="s">
        <v>46</v>
      </c>
      <c r="R45"/>
      <c r="S45" t="s">
        <v>43</v>
      </c>
      <c r="T45"/>
      <c r="U45" t="s">
        <v>58</v>
      </c>
      <c r="V45" t="s">
        <v>3839</v>
      </c>
      <c r="W45" s="88" t="s">
        <v>4034</v>
      </c>
    </row>
    <row r="46" spans="1:23" ht="14.4">
      <c r="A46" s="7" t="s">
        <v>17</v>
      </c>
      <c r="B46"/>
      <c r="C46" t="s">
        <v>2438</v>
      </c>
      <c r="D46" s="7" t="s">
        <v>176</v>
      </c>
      <c r="E46" s="7" t="s">
        <v>177</v>
      </c>
      <c r="F46" s="7" t="s">
        <v>178</v>
      </c>
      <c r="G46" s="7" t="s">
        <v>2584</v>
      </c>
      <c r="H46" s="85" t="s">
        <v>2803</v>
      </c>
      <c r="I46" s="85" t="s">
        <v>2754</v>
      </c>
      <c r="J46" s="85"/>
      <c r="K46" s="85" t="s">
        <v>855</v>
      </c>
      <c r="L46" s="85">
        <v>4</v>
      </c>
      <c r="M46" s="20">
        <f>Table9[[#This Row],[Rate
(Please Select from the list)]]/5</f>
        <v>0.8</v>
      </c>
      <c r="N46" s="78">
        <v>3.31</v>
      </c>
      <c r="O46" s="74">
        <f>Table9[[#This Row],[Score %]]*Table9[[#This Row],[Item Weight
(Please Select from the list)]]</f>
        <v>2.6480000000000001</v>
      </c>
      <c r="P46" s="80">
        <v>4</v>
      </c>
      <c r="Q46" t="s">
        <v>15</v>
      </c>
      <c r="R46"/>
      <c r="S46" t="s">
        <v>43</v>
      </c>
      <c r="T46"/>
      <c r="U46" t="s">
        <v>58</v>
      </c>
      <c r="V46" t="s">
        <v>3812</v>
      </c>
      <c r="W46" s="88" t="s">
        <v>4034</v>
      </c>
    </row>
    <row r="47" spans="1:23" ht="14.4">
      <c r="A47" s="7" t="s">
        <v>17</v>
      </c>
      <c r="B47" t="s">
        <v>91</v>
      </c>
      <c r="C47" t="s">
        <v>2437</v>
      </c>
      <c r="D47" s="7" t="s">
        <v>191</v>
      </c>
      <c r="E47" s="7" t="s">
        <v>192</v>
      </c>
      <c r="F47" s="7" t="s">
        <v>193</v>
      </c>
      <c r="G47" s="7" t="s">
        <v>2584</v>
      </c>
      <c r="H47" s="85" t="s">
        <v>2804</v>
      </c>
      <c r="I47" s="85" t="s">
        <v>2795</v>
      </c>
      <c r="J47" s="85"/>
      <c r="K47" s="85" t="s">
        <v>47</v>
      </c>
      <c r="L47" s="85">
        <v>4</v>
      </c>
      <c r="M47" s="20">
        <f>Table9[[#This Row],[Rate
(Please Select from the list)]]/5</f>
        <v>0.8</v>
      </c>
      <c r="N47" s="78">
        <v>3.31</v>
      </c>
      <c r="O47" s="74">
        <f>Table9[[#This Row],[Score %]]*Table9[[#This Row],[Item Weight
(Please Select from the list)]]</f>
        <v>2.6480000000000001</v>
      </c>
      <c r="P47" s="80">
        <v>4</v>
      </c>
      <c r="Q47" t="s">
        <v>31</v>
      </c>
      <c r="R47"/>
      <c r="S47" t="s">
        <v>43</v>
      </c>
      <c r="T47"/>
      <c r="U47" t="s">
        <v>58</v>
      </c>
      <c r="V47" t="s">
        <v>3812</v>
      </c>
      <c r="W47" s="88" t="s">
        <v>4034</v>
      </c>
    </row>
    <row r="48" spans="1:23" ht="14.4">
      <c r="A48" s="7" t="s">
        <v>17</v>
      </c>
      <c r="B48" t="s">
        <v>2429</v>
      </c>
      <c r="C48" t="s">
        <v>74</v>
      </c>
      <c r="D48" s="7" t="s">
        <v>194</v>
      </c>
      <c r="E48" s="7" t="s">
        <v>195</v>
      </c>
      <c r="F48" s="7" t="s">
        <v>196</v>
      </c>
      <c r="G48" s="7" t="s">
        <v>2584</v>
      </c>
      <c r="H48" s="85" t="s">
        <v>2805</v>
      </c>
      <c r="I48" s="85" t="s">
        <v>2739</v>
      </c>
      <c r="J48" s="85" t="s">
        <v>2806</v>
      </c>
      <c r="K48" s="85" t="s">
        <v>16</v>
      </c>
      <c r="L48" s="85">
        <v>3</v>
      </c>
      <c r="M48" s="20">
        <f>Table9[[#This Row],[Rate
(Please Select from the list)]]/5</f>
        <v>0.6</v>
      </c>
      <c r="N48" s="78">
        <v>2.48</v>
      </c>
      <c r="O48" s="74">
        <f>Table9[[#This Row],[Score %]]*Table9[[#This Row],[Item Weight
(Please Select from the list)]]</f>
        <v>1.488</v>
      </c>
      <c r="P48" s="80">
        <v>3</v>
      </c>
      <c r="Q48" t="s">
        <v>46</v>
      </c>
      <c r="R48" t="s">
        <v>3855</v>
      </c>
      <c r="S48" t="s">
        <v>29</v>
      </c>
      <c r="T48" s="86">
        <v>45421</v>
      </c>
      <c r="U48" t="s">
        <v>30</v>
      </c>
      <c r="V48" t="s">
        <v>3839</v>
      </c>
      <c r="W48" s="88" t="s">
        <v>4034</v>
      </c>
    </row>
    <row r="49" spans="1:23" ht="14.4">
      <c r="A49" s="7" t="s">
        <v>17</v>
      </c>
      <c r="B49"/>
      <c r="C49" t="s">
        <v>2441</v>
      </c>
      <c r="D49" s="7" t="s">
        <v>197</v>
      </c>
      <c r="E49" s="7" t="s">
        <v>198</v>
      </c>
      <c r="F49" s="7" t="s">
        <v>199</v>
      </c>
      <c r="G49" s="7" t="s">
        <v>2584</v>
      </c>
      <c r="H49" s="85" t="s">
        <v>2807</v>
      </c>
      <c r="I49" s="85" t="s">
        <v>2748</v>
      </c>
      <c r="J49" s="85" t="s">
        <v>2808</v>
      </c>
      <c r="K49" s="85" t="s">
        <v>16</v>
      </c>
      <c r="L49" s="85">
        <v>3</v>
      </c>
      <c r="M49" s="20">
        <f>Table9[[#This Row],[Rate
(Please Select from the list)]]/5</f>
        <v>0.6</v>
      </c>
      <c r="N49" s="78">
        <v>2.48</v>
      </c>
      <c r="O49" s="74">
        <f>Table9[[#This Row],[Score %]]*Table9[[#This Row],[Item Weight
(Please Select from the list)]]</f>
        <v>1.488</v>
      </c>
      <c r="P49" s="80">
        <v>3</v>
      </c>
      <c r="Q49" t="s">
        <v>3852</v>
      </c>
      <c r="R49"/>
      <c r="S49" t="s">
        <v>43</v>
      </c>
      <c r="T49"/>
      <c r="U49" t="s">
        <v>44</v>
      </c>
      <c r="V49" t="s">
        <v>3813</v>
      </c>
      <c r="W49" s="88" t="s">
        <v>4034</v>
      </c>
    </row>
    <row r="50" spans="1:23" ht="14.4">
      <c r="A50" s="7" t="s">
        <v>17</v>
      </c>
      <c r="B50" t="s">
        <v>2436</v>
      </c>
      <c r="C50" t="s">
        <v>2430</v>
      </c>
      <c r="D50" s="7" t="s">
        <v>200</v>
      </c>
      <c r="E50" s="7" t="s">
        <v>201</v>
      </c>
      <c r="F50" s="7" t="s">
        <v>202</v>
      </c>
      <c r="G50" s="7" t="s">
        <v>2584</v>
      </c>
      <c r="H50" s="85" t="s">
        <v>2809</v>
      </c>
      <c r="I50" s="85" t="s">
        <v>2716</v>
      </c>
      <c r="J50" s="85"/>
      <c r="K50" s="85" t="s">
        <v>16</v>
      </c>
      <c r="L50" s="85">
        <v>4</v>
      </c>
      <c r="M50" s="20">
        <f>Table9[[#This Row],[Rate
(Please Select from the list)]]/5</f>
        <v>0.8</v>
      </c>
      <c r="N50" s="78">
        <v>3.31</v>
      </c>
      <c r="O50" s="74">
        <f>Table9[[#This Row],[Score %]]*Table9[[#This Row],[Item Weight
(Please Select from the list)]]</f>
        <v>2.6480000000000001</v>
      </c>
      <c r="P50" s="80">
        <v>4</v>
      </c>
      <c r="Q50" t="s">
        <v>46</v>
      </c>
      <c r="R50"/>
      <c r="S50" t="s">
        <v>43</v>
      </c>
      <c r="T50"/>
      <c r="U50" t="s">
        <v>58</v>
      </c>
      <c r="V50" t="s">
        <v>3812</v>
      </c>
      <c r="W50" s="88" t="s">
        <v>4034</v>
      </c>
    </row>
    <row r="51" spans="1:23" ht="14.4">
      <c r="A51" s="7" t="s">
        <v>17</v>
      </c>
      <c r="B51" t="s">
        <v>2429</v>
      </c>
      <c r="C51" t="s">
        <v>74</v>
      </c>
      <c r="D51" s="7" t="s">
        <v>203</v>
      </c>
      <c r="E51" s="7" t="s">
        <v>204</v>
      </c>
      <c r="F51" s="7" t="s">
        <v>205</v>
      </c>
      <c r="G51" s="7" t="s">
        <v>2584</v>
      </c>
      <c r="H51" s="85" t="s">
        <v>2810</v>
      </c>
      <c r="I51" s="85" t="s">
        <v>2716</v>
      </c>
      <c r="J51" s="85"/>
      <c r="K51" s="85" t="s">
        <v>16</v>
      </c>
      <c r="L51" s="85">
        <v>4</v>
      </c>
      <c r="M51" s="20">
        <f>Table9[[#This Row],[Rate
(Please Select from the list)]]/5</f>
        <v>0.8</v>
      </c>
      <c r="N51" s="78">
        <v>3.31</v>
      </c>
      <c r="O51" s="74">
        <f>Table9[[#This Row],[Score %]]*Table9[[#This Row],[Item Weight
(Please Select from the list)]]</f>
        <v>2.6480000000000001</v>
      </c>
      <c r="P51" s="80">
        <v>4</v>
      </c>
      <c r="Q51" t="s">
        <v>59</v>
      </c>
      <c r="R51"/>
      <c r="S51" t="s">
        <v>57</v>
      </c>
      <c r="T51"/>
      <c r="U51" t="s">
        <v>58</v>
      </c>
      <c r="V51" t="s">
        <v>3812</v>
      </c>
      <c r="W51" s="88" t="s">
        <v>4034</v>
      </c>
    </row>
    <row r="52" spans="1:23" ht="14.4">
      <c r="A52" s="7" t="s">
        <v>17</v>
      </c>
      <c r="B52" t="s">
        <v>52</v>
      </c>
      <c r="C52" t="s">
        <v>2432</v>
      </c>
      <c r="D52" s="7" t="s">
        <v>206</v>
      </c>
      <c r="E52" s="7" t="s">
        <v>207</v>
      </c>
      <c r="F52" s="7" t="s">
        <v>208</v>
      </c>
      <c r="G52" s="7" t="s">
        <v>2584</v>
      </c>
      <c r="H52" s="85" t="s">
        <v>2811</v>
      </c>
      <c r="I52" s="85" t="s">
        <v>2716</v>
      </c>
      <c r="J52" s="85"/>
      <c r="K52" s="85" t="s">
        <v>16</v>
      </c>
      <c r="L52" s="85">
        <v>5</v>
      </c>
      <c r="M52" s="20">
        <f>Table9[[#This Row],[Rate
(Please Select from the list)]]/5</f>
        <v>1</v>
      </c>
      <c r="N52" s="78">
        <v>4.13</v>
      </c>
      <c r="O52" s="74">
        <f>Table9[[#This Row],[Score %]]*Table9[[#This Row],[Item Weight
(Please Select from the list)]]</f>
        <v>4.13</v>
      </c>
      <c r="P52" s="80">
        <v>5</v>
      </c>
      <c r="Q52" t="s">
        <v>46</v>
      </c>
      <c r="R52"/>
      <c r="S52" t="s">
        <v>57</v>
      </c>
      <c r="T52"/>
      <c r="U52" t="s">
        <v>58</v>
      </c>
      <c r="V52" t="s">
        <v>3851</v>
      </c>
      <c r="W52" s="88" t="s">
        <v>4034</v>
      </c>
    </row>
    <row r="53" spans="1:23" ht="14.4">
      <c r="A53" s="7" t="s">
        <v>17</v>
      </c>
      <c r="B53" t="s">
        <v>2429</v>
      </c>
      <c r="C53" t="s">
        <v>74</v>
      </c>
      <c r="D53" s="7" t="s">
        <v>209</v>
      </c>
      <c r="E53" s="7" t="s">
        <v>210</v>
      </c>
      <c r="F53" s="7" t="s">
        <v>211</v>
      </c>
      <c r="G53" s="7" t="s">
        <v>2584</v>
      </c>
      <c r="H53" s="85" t="s">
        <v>2812</v>
      </c>
      <c r="I53" s="85" t="s">
        <v>2739</v>
      </c>
      <c r="J53" s="85"/>
      <c r="K53" s="85" t="s">
        <v>47</v>
      </c>
      <c r="L53" s="85">
        <v>5</v>
      </c>
      <c r="M53" s="20">
        <f>Table9[[#This Row],[Rate
(Please Select from the list)]]/5</f>
        <v>1</v>
      </c>
      <c r="N53" s="78">
        <v>4.13</v>
      </c>
      <c r="O53" s="74">
        <f>Table9[[#This Row],[Score %]]*Table9[[#This Row],[Item Weight
(Please Select from the list)]]</f>
        <v>4.13</v>
      </c>
      <c r="P53" s="80">
        <v>5</v>
      </c>
      <c r="Q53" t="s">
        <v>59</v>
      </c>
      <c r="R53"/>
      <c r="S53" t="s">
        <v>57</v>
      </c>
      <c r="T53"/>
      <c r="U53" t="s">
        <v>44</v>
      </c>
      <c r="V53" t="s">
        <v>3851</v>
      </c>
      <c r="W53" s="88" t="s">
        <v>4034</v>
      </c>
    </row>
    <row r="54" spans="1:23" ht="14.4">
      <c r="A54" s="7" t="s">
        <v>17</v>
      </c>
      <c r="B54" t="s">
        <v>2429</v>
      </c>
      <c r="C54" t="s">
        <v>74</v>
      </c>
      <c r="D54" s="7" t="s">
        <v>215</v>
      </c>
      <c r="E54" s="7" t="s">
        <v>216</v>
      </c>
      <c r="F54" s="7" t="s">
        <v>217</v>
      </c>
      <c r="G54" s="7" t="s">
        <v>2584</v>
      </c>
      <c r="H54" s="85" t="s">
        <v>2813</v>
      </c>
      <c r="I54" s="85" t="s">
        <v>2716</v>
      </c>
      <c r="J54" s="85"/>
      <c r="K54" s="85" t="s">
        <v>855</v>
      </c>
      <c r="L54" s="85">
        <v>4</v>
      </c>
      <c r="M54" s="20">
        <f>Table9[[#This Row],[Rate
(Please Select from the list)]]/5</f>
        <v>0.8</v>
      </c>
      <c r="N54" s="78">
        <v>3.31</v>
      </c>
      <c r="O54" s="74">
        <f>Table9[[#This Row],[Score %]]*Table9[[#This Row],[Item Weight
(Please Select from the list)]]</f>
        <v>2.6480000000000001</v>
      </c>
      <c r="P54" s="80">
        <v>4</v>
      </c>
      <c r="Q54" t="s">
        <v>15</v>
      </c>
      <c r="R54"/>
      <c r="S54" t="s">
        <v>43</v>
      </c>
      <c r="T54"/>
      <c r="U54" t="s">
        <v>58</v>
      </c>
      <c r="V54" t="s">
        <v>3812</v>
      </c>
      <c r="W54" s="88" t="s">
        <v>4034</v>
      </c>
    </row>
    <row r="55" spans="1:23" ht="14.4">
      <c r="A55" s="7" t="s">
        <v>17</v>
      </c>
      <c r="B55" t="s">
        <v>91</v>
      </c>
      <c r="C55" t="s">
        <v>2437</v>
      </c>
      <c r="D55" s="7" t="s">
        <v>218</v>
      </c>
      <c r="E55" s="7" t="s">
        <v>219</v>
      </c>
      <c r="F55" s="7" t="s">
        <v>220</v>
      </c>
      <c r="G55" s="7" t="s">
        <v>2584</v>
      </c>
      <c r="H55" s="85" t="s">
        <v>2814</v>
      </c>
      <c r="I55" s="85" t="s">
        <v>2731</v>
      </c>
      <c r="J55" s="85"/>
      <c r="K55" s="85" t="s">
        <v>855</v>
      </c>
      <c r="L55" s="85">
        <v>5</v>
      </c>
      <c r="M55" s="20">
        <f>Table9[[#This Row],[Rate
(Please Select from the list)]]/5</f>
        <v>1</v>
      </c>
      <c r="N55" s="78">
        <v>3.31</v>
      </c>
      <c r="O55" s="74">
        <f>Table9[[#This Row],[Score %]]*Table9[[#This Row],[Item Weight
(Please Select from the list)]]</f>
        <v>3.31</v>
      </c>
      <c r="P55" s="80">
        <v>4</v>
      </c>
      <c r="Q55" t="s">
        <v>59</v>
      </c>
      <c r="R55"/>
      <c r="S55" t="s">
        <v>57</v>
      </c>
      <c r="T55"/>
      <c r="U55" t="s">
        <v>58</v>
      </c>
      <c r="V55" t="s">
        <v>3851</v>
      </c>
      <c r="W55" s="88" t="s">
        <v>4034</v>
      </c>
    </row>
    <row r="56" spans="1:23" ht="14.4">
      <c r="A56" s="7" t="s">
        <v>17</v>
      </c>
      <c r="B56"/>
      <c r="C56" t="s">
        <v>2442</v>
      </c>
      <c r="D56" s="7" t="s">
        <v>221</v>
      </c>
      <c r="E56" s="7" t="s">
        <v>222</v>
      </c>
      <c r="F56" s="7" t="s">
        <v>223</v>
      </c>
      <c r="G56" s="7" t="s">
        <v>2584</v>
      </c>
      <c r="H56" s="85" t="s">
        <v>2815</v>
      </c>
      <c r="I56" s="85" t="s">
        <v>2728</v>
      </c>
      <c r="J56" s="85"/>
      <c r="K56" s="85" t="s">
        <v>16</v>
      </c>
      <c r="L56" s="85">
        <v>4</v>
      </c>
      <c r="M56" s="20">
        <f>Table9[[#This Row],[Rate
(Please Select from the list)]]/5</f>
        <v>0.8</v>
      </c>
      <c r="N56" s="78">
        <v>3.31</v>
      </c>
      <c r="O56" s="74">
        <f>Table9[[#This Row],[Score %]]*Table9[[#This Row],[Item Weight
(Please Select from the list)]]</f>
        <v>2.6480000000000001</v>
      </c>
      <c r="P56" s="80">
        <v>4</v>
      </c>
      <c r="Q56" t="s">
        <v>46</v>
      </c>
      <c r="R56"/>
      <c r="S56" t="s">
        <v>43</v>
      </c>
      <c r="T56"/>
      <c r="U56" t="s">
        <v>58</v>
      </c>
      <c r="V56" t="s">
        <v>3812</v>
      </c>
      <c r="W56" s="88" t="s">
        <v>4034</v>
      </c>
    </row>
    <row r="57" spans="1:23" ht="14.4">
      <c r="A57" s="7" t="s">
        <v>17</v>
      </c>
      <c r="B57" t="s">
        <v>2429</v>
      </c>
      <c r="C57" t="s">
        <v>74</v>
      </c>
      <c r="D57" s="7" t="s">
        <v>224</v>
      </c>
      <c r="E57" s="7" t="s">
        <v>225</v>
      </c>
      <c r="F57" s="7" t="s">
        <v>226</v>
      </c>
      <c r="G57" s="7" t="s">
        <v>2584</v>
      </c>
      <c r="H57" s="85" t="s">
        <v>2816</v>
      </c>
      <c r="I57" s="85" t="s">
        <v>2718</v>
      </c>
      <c r="J57" s="85"/>
      <c r="K57" s="85" t="s">
        <v>855</v>
      </c>
      <c r="L57" s="85">
        <v>4</v>
      </c>
      <c r="M57" s="20">
        <f>Table9[[#This Row],[Rate
(Please Select from the list)]]/5</f>
        <v>0.8</v>
      </c>
      <c r="N57" s="78">
        <v>3.31</v>
      </c>
      <c r="O57" s="74">
        <f>Table9[[#This Row],[Score %]]*Table9[[#This Row],[Item Weight
(Please Select from the list)]]</f>
        <v>2.6480000000000001</v>
      </c>
      <c r="P57" s="80">
        <v>4</v>
      </c>
      <c r="Q57" t="s">
        <v>15</v>
      </c>
      <c r="R57"/>
      <c r="S57" t="s">
        <v>43</v>
      </c>
      <c r="T57"/>
      <c r="U57" t="s">
        <v>58</v>
      </c>
      <c r="V57" t="s">
        <v>3812</v>
      </c>
      <c r="W57" s="88" t="s">
        <v>4034</v>
      </c>
    </row>
    <row r="58" spans="1:23" ht="14.4">
      <c r="A58" s="7" t="s">
        <v>17</v>
      </c>
      <c r="B58" t="s">
        <v>2429</v>
      </c>
      <c r="C58" t="s">
        <v>74</v>
      </c>
      <c r="D58" s="7" t="s">
        <v>227</v>
      </c>
      <c r="E58" s="7" t="s">
        <v>228</v>
      </c>
      <c r="F58" s="7" t="s">
        <v>229</v>
      </c>
      <c r="G58" s="7" t="s">
        <v>2584</v>
      </c>
      <c r="H58" s="85" t="s">
        <v>2817</v>
      </c>
      <c r="I58" s="85" t="s">
        <v>2754</v>
      </c>
      <c r="J58" s="85" t="s">
        <v>2818</v>
      </c>
      <c r="K58" s="85" t="s">
        <v>16</v>
      </c>
      <c r="L58" s="85">
        <v>3</v>
      </c>
      <c r="M58" s="20">
        <f>Table9[[#This Row],[Rate
(Please Select from the list)]]/5</f>
        <v>0.6</v>
      </c>
      <c r="N58" s="78">
        <v>3.31</v>
      </c>
      <c r="O58" s="74">
        <f>Table9[[#This Row],[Score %]]*Table9[[#This Row],[Item Weight
(Please Select from the list)]]</f>
        <v>1.986</v>
      </c>
      <c r="P58" s="80">
        <v>4</v>
      </c>
      <c r="Q58" t="s">
        <v>15</v>
      </c>
      <c r="R58" t="s">
        <v>3856</v>
      </c>
      <c r="S58" t="s">
        <v>29</v>
      </c>
      <c r="T58" s="86">
        <v>45421</v>
      </c>
      <c r="U58" t="s">
        <v>14</v>
      </c>
      <c r="V58" t="s">
        <v>3813</v>
      </c>
      <c r="W58" s="88" t="s">
        <v>4034</v>
      </c>
    </row>
    <row r="59" spans="1:23" ht="14.4">
      <c r="A59" s="7" t="s">
        <v>17</v>
      </c>
      <c r="B59"/>
      <c r="C59" t="s">
        <v>2446</v>
      </c>
      <c r="D59" s="7" t="s">
        <v>230</v>
      </c>
      <c r="E59" s="7" t="s">
        <v>231</v>
      </c>
      <c r="F59" s="7" t="s">
        <v>232</v>
      </c>
      <c r="G59" s="7" t="s">
        <v>2584</v>
      </c>
      <c r="H59" s="85" t="s">
        <v>2819</v>
      </c>
      <c r="I59" s="85" t="s">
        <v>2795</v>
      </c>
      <c r="J59" s="85"/>
      <c r="K59" s="85" t="s">
        <v>16</v>
      </c>
      <c r="L59" s="85">
        <v>4</v>
      </c>
      <c r="M59" s="20">
        <f>Table9[[#This Row],[Rate
(Please Select from the list)]]/5</f>
        <v>0.8</v>
      </c>
      <c r="N59" s="78">
        <v>2.48</v>
      </c>
      <c r="O59" s="74">
        <f>Table9[[#This Row],[Score %]]*Table9[[#This Row],[Item Weight
(Please Select from the list)]]</f>
        <v>1.984</v>
      </c>
      <c r="P59" s="80">
        <v>3</v>
      </c>
      <c r="Q59" t="s">
        <v>46</v>
      </c>
      <c r="R59"/>
      <c r="S59" t="s">
        <v>43</v>
      </c>
      <c r="T59"/>
      <c r="U59" t="s">
        <v>44</v>
      </c>
      <c r="V59" t="s">
        <v>3812</v>
      </c>
      <c r="W59" s="88" t="s">
        <v>4034</v>
      </c>
    </row>
    <row r="60" spans="1:23" ht="14.4">
      <c r="A60" s="7" t="s">
        <v>17</v>
      </c>
      <c r="B60" t="s">
        <v>2429</v>
      </c>
      <c r="C60" t="s">
        <v>74</v>
      </c>
      <c r="D60" s="7" t="s">
        <v>233</v>
      </c>
      <c r="E60" s="7" t="s">
        <v>234</v>
      </c>
      <c r="F60" s="7" t="s">
        <v>235</v>
      </c>
      <c r="G60" s="7" t="s">
        <v>2584</v>
      </c>
      <c r="H60" s="85" t="s">
        <v>2820</v>
      </c>
      <c r="I60" s="85" t="s">
        <v>2725</v>
      </c>
      <c r="J60" s="85" t="s">
        <v>2821</v>
      </c>
      <c r="K60" s="85" t="s">
        <v>16</v>
      </c>
      <c r="L60" s="85">
        <v>2</v>
      </c>
      <c r="M60" s="20">
        <f>Table9[[#This Row],[Rate
(Please Select from the list)]]/5</f>
        <v>0.4</v>
      </c>
      <c r="N60" s="78">
        <v>3.31</v>
      </c>
      <c r="O60" s="74">
        <f>Table9[[#This Row],[Score %]]*Table9[[#This Row],[Item Weight
(Please Select from the list)]]</f>
        <v>1.3240000000000001</v>
      </c>
      <c r="P60" s="80">
        <v>4</v>
      </c>
      <c r="Q60" t="s">
        <v>46</v>
      </c>
      <c r="R60" t="s">
        <v>3857</v>
      </c>
      <c r="S60" t="s">
        <v>13</v>
      </c>
      <c r="T60" t="s">
        <v>3820</v>
      </c>
      <c r="U60" t="s">
        <v>14</v>
      </c>
      <c r="V60" t="s">
        <v>3823</v>
      </c>
      <c r="W60" s="88" t="s">
        <v>4034</v>
      </c>
    </row>
    <row r="61" spans="1:23" ht="14.4">
      <c r="A61" s="7" t="s">
        <v>17</v>
      </c>
      <c r="B61"/>
      <c r="C61" t="s">
        <v>2713</v>
      </c>
      <c r="D61" s="7" t="s">
        <v>236</v>
      </c>
      <c r="E61" s="7" t="s">
        <v>237</v>
      </c>
      <c r="F61" s="7" t="s">
        <v>238</v>
      </c>
      <c r="G61" s="7" t="s">
        <v>2584</v>
      </c>
      <c r="H61" s="85" t="s">
        <v>2822</v>
      </c>
      <c r="I61" s="85" t="s">
        <v>2736</v>
      </c>
      <c r="J61" s="85" t="s">
        <v>2823</v>
      </c>
      <c r="K61" s="85" t="s">
        <v>16</v>
      </c>
      <c r="L61" s="85">
        <v>3</v>
      </c>
      <c r="M61" s="20">
        <f>Table9[[#This Row],[Rate
(Please Select from the list)]]/5</f>
        <v>0.6</v>
      </c>
      <c r="N61" s="78">
        <v>3.31</v>
      </c>
      <c r="O61" s="74">
        <f>Table9[[#This Row],[Score %]]*Table9[[#This Row],[Item Weight
(Please Select from the list)]]</f>
        <v>1.986</v>
      </c>
      <c r="P61" s="80">
        <v>4</v>
      </c>
      <c r="Q61" t="s">
        <v>46</v>
      </c>
      <c r="R61"/>
      <c r="S61" t="s">
        <v>43</v>
      </c>
      <c r="T61"/>
      <c r="U61" t="s">
        <v>44</v>
      </c>
      <c r="V61" t="s">
        <v>3813</v>
      </c>
      <c r="W61" s="88" t="s">
        <v>4034</v>
      </c>
    </row>
    <row r="62" spans="1:23" ht="14.4">
      <c r="A62" s="7" t="s">
        <v>17</v>
      </c>
      <c r="B62"/>
      <c r="C62" t="s">
        <v>2444</v>
      </c>
      <c r="D62" s="7" t="s">
        <v>239</v>
      </c>
      <c r="E62" s="7" t="s">
        <v>240</v>
      </c>
      <c r="F62" s="7" t="s">
        <v>241</v>
      </c>
      <c r="G62" s="7" t="s">
        <v>2584</v>
      </c>
      <c r="H62" s="85" t="s">
        <v>2824</v>
      </c>
      <c r="I62" s="85" t="s">
        <v>2716</v>
      </c>
      <c r="J62" s="85"/>
      <c r="K62" s="85" t="s">
        <v>47</v>
      </c>
      <c r="L62" s="85">
        <v>4</v>
      </c>
      <c r="M62" s="20">
        <f>Table9[[#This Row],[Rate
(Please Select from the list)]]/5</f>
        <v>0.8</v>
      </c>
      <c r="N62" s="78">
        <v>3.31</v>
      </c>
      <c r="O62" s="74">
        <f>Table9[[#This Row],[Score %]]*Table9[[#This Row],[Item Weight
(Please Select from the list)]]</f>
        <v>2.6480000000000001</v>
      </c>
      <c r="P62" s="80">
        <v>4</v>
      </c>
      <c r="Q62" t="s">
        <v>46</v>
      </c>
      <c r="R62"/>
      <c r="S62" t="s">
        <v>43</v>
      </c>
      <c r="T62"/>
      <c r="U62" t="s">
        <v>58</v>
      </c>
      <c r="V62" t="s">
        <v>3812</v>
      </c>
      <c r="W62" s="88" t="s">
        <v>4034</v>
      </c>
    </row>
    <row r="63" spans="1:23" ht="14.4">
      <c r="A63" s="7" t="s">
        <v>17</v>
      </c>
      <c r="B63" t="s">
        <v>2429</v>
      </c>
      <c r="C63" t="s">
        <v>74</v>
      </c>
      <c r="D63" s="7" t="s">
        <v>242</v>
      </c>
      <c r="E63" s="7" t="s">
        <v>243</v>
      </c>
      <c r="F63" s="7" t="s">
        <v>244</v>
      </c>
      <c r="G63" s="7" t="s">
        <v>2584</v>
      </c>
      <c r="H63" s="85" t="s">
        <v>2825</v>
      </c>
      <c r="I63" s="85" t="s">
        <v>2718</v>
      </c>
      <c r="J63" s="85" t="s">
        <v>2826</v>
      </c>
      <c r="K63" s="85" t="s">
        <v>16</v>
      </c>
      <c r="L63" s="85">
        <v>2</v>
      </c>
      <c r="M63" s="20">
        <f>Table9[[#This Row],[Rate
(Please Select from the list)]]/5</f>
        <v>0.4</v>
      </c>
      <c r="N63" s="78">
        <v>3.31</v>
      </c>
      <c r="O63" s="74">
        <f>Table9[[#This Row],[Score %]]*Table9[[#This Row],[Item Weight
(Please Select from the list)]]</f>
        <v>1.3240000000000001</v>
      </c>
      <c r="P63" s="80">
        <v>4</v>
      </c>
      <c r="Q63" t="s">
        <v>46</v>
      </c>
      <c r="R63" t="s">
        <v>3858</v>
      </c>
      <c r="S63" t="s">
        <v>13</v>
      </c>
      <c r="T63" t="s">
        <v>3820</v>
      </c>
      <c r="U63" t="s">
        <v>14</v>
      </c>
      <c r="V63" t="s">
        <v>3859</v>
      </c>
      <c r="W63" s="88" t="s">
        <v>4034</v>
      </c>
    </row>
    <row r="64" spans="1:23" ht="14.4">
      <c r="A64" s="7" t="s">
        <v>17</v>
      </c>
      <c r="B64"/>
      <c r="C64" t="s">
        <v>2447</v>
      </c>
      <c r="D64" s="7" t="s">
        <v>245</v>
      </c>
      <c r="E64" s="7" t="s">
        <v>246</v>
      </c>
      <c r="F64" s="7" t="s">
        <v>247</v>
      </c>
      <c r="G64" s="7" t="s">
        <v>2584</v>
      </c>
      <c r="H64" s="85" t="s">
        <v>2827</v>
      </c>
      <c r="I64" s="85" t="s">
        <v>2754</v>
      </c>
      <c r="J64" s="85"/>
      <c r="K64" s="85" t="s">
        <v>16</v>
      </c>
      <c r="L64" s="85">
        <v>4</v>
      </c>
      <c r="M64" s="20">
        <f>Table9[[#This Row],[Rate
(Please Select from the list)]]/5</f>
        <v>0.8</v>
      </c>
      <c r="N64" s="78">
        <v>3.31</v>
      </c>
      <c r="O64" s="74">
        <f>Table9[[#This Row],[Score %]]*Table9[[#This Row],[Item Weight
(Please Select from the list)]]</f>
        <v>2.6480000000000001</v>
      </c>
      <c r="P64" s="80">
        <v>4</v>
      </c>
      <c r="Q64" t="s">
        <v>46</v>
      </c>
      <c r="R64"/>
      <c r="S64" t="s">
        <v>57</v>
      </c>
      <c r="T64"/>
      <c r="U64" t="s">
        <v>58</v>
      </c>
      <c r="V64" t="s">
        <v>3812</v>
      </c>
      <c r="W64" s="88" t="s">
        <v>4034</v>
      </c>
    </row>
    <row r="65" spans="1:23" ht="14.4">
      <c r="A65" s="7" t="s">
        <v>17</v>
      </c>
      <c r="B65" t="s">
        <v>2429</v>
      </c>
      <c r="C65" t="s">
        <v>74</v>
      </c>
      <c r="D65" s="7" t="s">
        <v>248</v>
      </c>
      <c r="E65" s="7" t="s">
        <v>249</v>
      </c>
      <c r="F65" s="7" t="s">
        <v>250</v>
      </c>
      <c r="G65" s="7" t="s">
        <v>2584</v>
      </c>
      <c r="H65" s="85" t="s">
        <v>2828</v>
      </c>
      <c r="I65" s="85" t="s">
        <v>2728</v>
      </c>
      <c r="J65" s="85" t="s">
        <v>2829</v>
      </c>
      <c r="K65" s="85" t="s">
        <v>16</v>
      </c>
      <c r="L65" s="85">
        <v>3</v>
      </c>
      <c r="M65" s="20">
        <f>Table9[[#This Row],[Rate
(Please Select from the list)]]/5</f>
        <v>0.6</v>
      </c>
      <c r="N65" s="78">
        <v>3.31</v>
      </c>
      <c r="O65" s="74">
        <f>Table9[[#This Row],[Score %]]*Table9[[#This Row],[Item Weight
(Please Select from the list)]]</f>
        <v>1.986</v>
      </c>
      <c r="P65" s="80">
        <v>4</v>
      </c>
      <c r="Q65" t="s">
        <v>59</v>
      </c>
      <c r="R65" t="s">
        <v>3860</v>
      </c>
      <c r="S65" t="s">
        <v>29</v>
      </c>
      <c r="T65" s="86">
        <v>45421</v>
      </c>
      <c r="U65" t="s">
        <v>30</v>
      </c>
      <c r="V65" t="s">
        <v>3813</v>
      </c>
      <c r="W65" s="88" t="s">
        <v>4034</v>
      </c>
    </row>
    <row r="66" spans="1:23" ht="14.4">
      <c r="A66" s="7" t="s">
        <v>17</v>
      </c>
      <c r="B66" t="s">
        <v>1488</v>
      </c>
      <c r="C66" t="s">
        <v>2434</v>
      </c>
      <c r="D66" s="7" t="s">
        <v>188</v>
      </c>
      <c r="E66" s="7" t="s">
        <v>189</v>
      </c>
      <c r="F66" s="7" t="s">
        <v>190</v>
      </c>
      <c r="G66" s="7" t="s">
        <v>2584</v>
      </c>
      <c r="H66" s="85" t="s">
        <v>2830</v>
      </c>
      <c r="I66" s="85" t="s">
        <v>2731</v>
      </c>
      <c r="J66" s="85"/>
      <c r="K66" s="85" t="s">
        <v>47</v>
      </c>
      <c r="L66" s="85">
        <v>4</v>
      </c>
      <c r="M66" s="20">
        <f>Table9[[#This Row],[Rate
(Please Select from the list)]]/5</f>
        <v>0.8</v>
      </c>
      <c r="N66" s="78">
        <v>3.31</v>
      </c>
      <c r="O66" s="74">
        <f>Table9[[#This Row],[Score %]]*Table9[[#This Row],[Item Weight
(Please Select from the list)]]</f>
        <v>2.6480000000000001</v>
      </c>
      <c r="P66" s="80">
        <v>4</v>
      </c>
      <c r="Q66" t="s">
        <v>59</v>
      </c>
      <c r="R66"/>
      <c r="S66" t="s">
        <v>43</v>
      </c>
      <c r="T66"/>
      <c r="U66" t="s">
        <v>58</v>
      </c>
      <c r="V66" t="s">
        <v>3812</v>
      </c>
      <c r="W66" s="88" t="s">
        <v>4034</v>
      </c>
    </row>
    <row r="67" spans="1:23" ht="14.4">
      <c r="A67" s="7" t="s">
        <v>2449</v>
      </c>
      <c r="B67" t="s">
        <v>2450</v>
      </c>
      <c r="C67" t="s">
        <v>2451</v>
      </c>
      <c r="D67" s="7" t="s">
        <v>182</v>
      </c>
      <c r="E67" s="7" t="s">
        <v>183</v>
      </c>
      <c r="F67" s="7" t="s">
        <v>184</v>
      </c>
      <c r="G67" s="7" t="s">
        <v>2584</v>
      </c>
      <c r="H67" s="85" t="s">
        <v>2831</v>
      </c>
      <c r="I67" s="85" t="s">
        <v>2716</v>
      </c>
      <c r="J67" s="85" t="s">
        <v>2832</v>
      </c>
      <c r="K67" s="85" t="s">
        <v>16</v>
      </c>
      <c r="L67" s="85">
        <v>3</v>
      </c>
      <c r="M67" s="20">
        <f>Table9[[#This Row],[Rate
(Please Select from the list)]]/5</f>
        <v>0.6</v>
      </c>
      <c r="N67" s="78">
        <v>20</v>
      </c>
      <c r="O67" s="74">
        <f>Table9[[#This Row],[Score %]]*Table9[[#This Row],[Item Weight
(Please Select from the list)]]</f>
        <v>12</v>
      </c>
      <c r="P67" s="80">
        <v>4</v>
      </c>
      <c r="Q67" t="s">
        <v>15</v>
      </c>
      <c r="R67"/>
      <c r="S67" t="s">
        <v>43</v>
      </c>
      <c r="T67"/>
      <c r="U67" t="s">
        <v>44</v>
      </c>
      <c r="V67" t="s">
        <v>3825</v>
      </c>
      <c r="W67" s="88" t="s">
        <v>4034</v>
      </c>
    </row>
    <row r="68" spans="1:23" ht="14.4">
      <c r="A68" s="7" t="s">
        <v>2449</v>
      </c>
      <c r="B68" t="s">
        <v>1525</v>
      </c>
      <c r="C68" t="s">
        <v>1537</v>
      </c>
      <c r="D68" s="7" t="s">
        <v>185</v>
      </c>
      <c r="E68" s="7" t="s">
        <v>186</v>
      </c>
      <c r="F68" s="7" t="s">
        <v>187</v>
      </c>
      <c r="G68" s="7" t="s">
        <v>2584</v>
      </c>
      <c r="H68" s="85" t="s">
        <v>2833</v>
      </c>
      <c r="I68" s="85" t="s">
        <v>2716</v>
      </c>
      <c r="J68" s="85"/>
      <c r="K68" s="85" t="s">
        <v>16</v>
      </c>
      <c r="L68" s="85">
        <v>4</v>
      </c>
      <c r="M68" s="20">
        <f>Table9[[#This Row],[Rate
(Please Select from the list)]]/5</f>
        <v>0.8</v>
      </c>
      <c r="N68" s="73">
        <v>20</v>
      </c>
      <c r="O68" s="74">
        <f>Table9[[#This Row],[Score %]]*Table9[[#This Row],[Item Weight
(Please Select from the list)]]</f>
        <v>16</v>
      </c>
      <c r="P68" s="80">
        <v>4</v>
      </c>
      <c r="Q68" t="s">
        <v>3852</v>
      </c>
      <c r="R68"/>
      <c r="S68" t="s">
        <v>57</v>
      </c>
      <c r="T68"/>
      <c r="U68" t="s">
        <v>58</v>
      </c>
      <c r="V68" t="s">
        <v>3812</v>
      </c>
      <c r="W68" s="88" t="s">
        <v>4034</v>
      </c>
    </row>
    <row r="69" spans="1:23" ht="14.4">
      <c r="A69" s="7" t="s">
        <v>2449</v>
      </c>
      <c r="B69" t="s">
        <v>2457</v>
      </c>
      <c r="C69" t="s">
        <v>2455</v>
      </c>
      <c r="D69" s="7" t="s">
        <v>179</v>
      </c>
      <c r="E69" s="7" t="s">
        <v>180</v>
      </c>
      <c r="F69" s="7" t="s">
        <v>181</v>
      </c>
      <c r="G69" s="7" t="s">
        <v>2584</v>
      </c>
      <c r="H69" s="85" t="s">
        <v>2834</v>
      </c>
      <c r="I69" s="85" t="s">
        <v>2739</v>
      </c>
      <c r="J69" s="85"/>
      <c r="K69" s="85" t="s">
        <v>855</v>
      </c>
      <c r="L69" s="85">
        <v>4</v>
      </c>
      <c r="M69" s="20">
        <f>Table9[[#This Row],[Rate
(Please Select from the list)]]/5</f>
        <v>0.8</v>
      </c>
      <c r="N69" s="73">
        <v>20</v>
      </c>
      <c r="O69" s="74">
        <f>Table9[[#This Row],[Score %]]*Table9[[#This Row],[Item Weight
(Please Select from the list)]]</f>
        <v>16</v>
      </c>
      <c r="P69" s="80">
        <v>4</v>
      </c>
      <c r="Q69" t="s">
        <v>3852</v>
      </c>
      <c r="R69"/>
      <c r="S69" t="s">
        <v>43</v>
      </c>
      <c r="T69"/>
      <c r="U69" t="s">
        <v>44</v>
      </c>
      <c r="V69" t="s">
        <v>3812</v>
      </c>
      <c r="W69" s="88" t="s">
        <v>4034</v>
      </c>
    </row>
    <row r="70" spans="1:23" ht="14.4">
      <c r="A70" s="7" t="s">
        <v>2449</v>
      </c>
      <c r="B70" t="s">
        <v>107</v>
      </c>
      <c r="C70" t="s">
        <v>2454</v>
      </c>
      <c r="D70" s="7" t="s">
        <v>212</v>
      </c>
      <c r="E70" s="7" t="s">
        <v>213</v>
      </c>
      <c r="F70" s="7" t="s">
        <v>214</v>
      </c>
      <c r="G70" s="7" t="s">
        <v>2584</v>
      </c>
      <c r="H70" s="85" t="s">
        <v>2835</v>
      </c>
      <c r="I70" s="85" t="s">
        <v>2731</v>
      </c>
      <c r="J70" s="85"/>
      <c r="K70" s="85" t="s">
        <v>16</v>
      </c>
      <c r="L70" s="85">
        <v>5</v>
      </c>
      <c r="M70" s="20">
        <f>Table9[[#This Row],[Rate
(Please Select from the list)]]/5</f>
        <v>1</v>
      </c>
      <c r="N70" s="73">
        <v>20</v>
      </c>
      <c r="O70" s="74">
        <f>Table9[[#This Row],[Score %]]*Table9[[#This Row],[Item Weight
(Please Select from the list)]]</f>
        <v>20</v>
      </c>
      <c r="P70" s="80">
        <v>4</v>
      </c>
      <c r="Q70" t="s">
        <v>46</v>
      </c>
      <c r="R70"/>
      <c r="S70" t="s">
        <v>57</v>
      </c>
      <c r="T70"/>
      <c r="U70" t="s">
        <v>44</v>
      </c>
      <c r="V70" t="s">
        <v>3851</v>
      </c>
      <c r="W70" s="88" t="s">
        <v>4034</v>
      </c>
    </row>
    <row r="71" spans="1:23" ht="14.4">
      <c r="A71" s="7" t="s">
        <v>2449</v>
      </c>
      <c r="B71"/>
      <c r="C71" t="s">
        <v>2458</v>
      </c>
      <c r="D71" s="7" t="s">
        <v>251</v>
      </c>
      <c r="E71" s="7" t="s">
        <v>252</v>
      </c>
      <c r="F71" s="7" t="s">
        <v>253</v>
      </c>
      <c r="G71" s="7" t="s">
        <v>2584</v>
      </c>
      <c r="H71" s="85" t="s">
        <v>2836</v>
      </c>
      <c r="I71" s="85" t="s">
        <v>2748</v>
      </c>
      <c r="J71" s="85" t="s">
        <v>2837</v>
      </c>
      <c r="K71" s="85" t="s">
        <v>16</v>
      </c>
      <c r="L71" s="85">
        <v>3</v>
      </c>
      <c r="M71" s="20">
        <f>Table9[[#This Row],[Rate
(Please Select from the list)]]/5</f>
        <v>0.6</v>
      </c>
      <c r="N71" s="73">
        <v>20</v>
      </c>
      <c r="O71" s="74">
        <f>Table9[[#This Row],[Score %]]*Table9[[#This Row],[Item Weight
(Please Select from the list)]]</f>
        <v>12</v>
      </c>
      <c r="P71" s="80">
        <v>4</v>
      </c>
      <c r="Q71" t="s">
        <v>15</v>
      </c>
      <c r="R71"/>
      <c r="S71" t="s">
        <v>43</v>
      </c>
      <c r="T71"/>
      <c r="U71" t="s">
        <v>58</v>
      </c>
      <c r="V71" t="s">
        <v>3815</v>
      </c>
      <c r="W71" s="88" t="s">
        <v>4034</v>
      </c>
    </row>
    <row r="72" spans="1:23" ht="14.4">
      <c r="A72" s="7" t="s">
        <v>33</v>
      </c>
      <c r="B72" t="s">
        <v>18</v>
      </c>
      <c r="C72" t="s">
        <v>19</v>
      </c>
      <c r="D72" s="7" t="s">
        <v>254</v>
      </c>
      <c r="E72" s="7" t="s">
        <v>255</v>
      </c>
      <c r="F72" s="7" t="s">
        <v>256</v>
      </c>
      <c r="G72" s="7" t="s">
        <v>2584</v>
      </c>
      <c r="H72" s="85" t="s">
        <v>2838</v>
      </c>
      <c r="I72" s="85" t="s">
        <v>2731</v>
      </c>
      <c r="J72" s="85"/>
      <c r="K72" s="85" t="s">
        <v>16</v>
      </c>
      <c r="L72" s="85">
        <v>4</v>
      </c>
      <c r="M72" s="20">
        <f>Table9[[#This Row],[Rate
(Please Select from the list)]]/5</f>
        <v>0.8</v>
      </c>
      <c r="N72" s="73">
        <v>2.94</v>
      </c>
      <c r="O72" s="74">
        <f>Table9[[#This Row],[Score %]]*Table9[[#This Row],[Item Weight
(Please Select from the list)]]</f>
        <v>2.3519999999999999</v>
      </c>
      <c r="P72" s="80">
        <v>4</v>
      </c>
      <c r="Q72" t="s">
        <v>46</v>
      </c>
      <c r="R72"/>
      <c r="S72" t="s">
        <v>57</v>
      </c>
      <c r="T72"/>
      <c r="U72" t="s">
        <v>58</v>
      </c>
      <c r="V72" t="s">
        <v>3812</v>
      </c>
      <c r="W72" s="88" t="s">
        <v>4034</v>
      </c>
    </row>
    <row r="73" spans="1:23" ht="14.4">
      <c r="A73" s="7" t="s">
        <v>33</v>
      </c>
      <c r="B73" t="s">
        <v>18</v>
      </c>
      <c r="C73" t="s">
        <v>19</v>
      </c>
      <c r="D73" s="7" t="s">
        <v>257</v>
      </c>
      <c r="E73" s="7" t="s">
        <v>258</v>
      </c>
      <c r="F73" s="7" t="s">
        <v>259</v>
      </c>
      <c r="G73" s="7" t="s">
        <v>2584</v>
      </c>
      <c r="H73" s="85" t="s">
        <v>2839</v>
      </c>
      <c r="I73" s="85" t="s">
        <v>2731</v>
      </c>
      <c r="J73" s="85" t="s">
        <v>2840</v>
      </c>
      <c r="K73" s="85" t="s">
        <v>16</v>
      </c>
      <c r="L73" s="85">
        <v>3</v>
      </c>
      <c r="M73" s="20">
        <f>Table9[[#This Row],[Rate
(Please Select from the list)]]/5</f>
        <v>0.6</v>
      </c>
      <c r="N73" s="73">
        <v>2.21</v>
      </c>
      <c r="O73" s="74">
        <f>Table9[[#This Row],[Score %]]*Table9[[#This Row],[Item Weight
(Please Select from the list)]]</f>
        <v>1.3259999999999998</v>
      </c>
      <c r="P73" s="80">
        <v>3</v>
      </c>
      <c r="Q73" t="s">
        <v>15</v>
      </c>
      <c r="R73"/>
      <c r="S73" t="s">
        <v>43</v>
      </c>
      <c r="T73"/>
      <c r="U73" t="s">
        <v>44</v>
      </c>
      <c r="V73" t="s">
        <v>3815</v>
      </c>
      <c r="W73" s="88" t="s">
        <v>4034</v>
      </c>
    </row>
    <row r="74" spans="1:23" ht="14.4">
      <c r="A74" s="7" t="s">
        <v>33</v>
      </c>
      <c r="B74" t="s">
        <v>18</v>
      </c>
      <c r="C74" t="s">
        <v>19</v>
      </c>
      <c r="D74" s="7" t="s">
        <v>260</v>
      </c>
      <c r="E74" s="7" t="s">
        <v>261</v>
      </c>
      <c r="F74" s="7" t="s">
        <v>262</v>
      </c>
      <c r="G74" s="7" t="s">
        <v>2584</v>
      </c>
      <c r="H74" s="85" t="s">
        <v>2841</v>
      </c>
      <c r="I74" s="85" t="s">
        <v>2731</v>
      </c>
      <c r="J74" s="85"/>
      <c r="K74" s="85" t="s">
        <v>16</v>
      </c>
      <c r="L74" s="85">
        <v>4</v>
      </c>
      <c r="M74" s="20">
        <f>Table9[[#This Row],[Rate
(Please Select from the list)]]/5</f>
        <v>0.8</v>
      </c>
      <c r="N74" s="73">
        <v>2.94</v>
      </c>
      <c r="O74" s="74">
        <f>Table9[[#This Row],[Score %]]*Table9[[#This Row],[Item Weight
(Please Select from the list)]]</f>
        <v>2.3519999999999999</v>
      </c>
      <c r="P74" s="80">
        <v>4</v>
      </c>
      <c r="Q74" t="s">
        <v>15</v>
      </c>
      <c r="R74"/>
      <c r="S74" t="s">
        <v>57</v>
      </c>
      <c r="T74"/>
      <c r="U74" t="s">
        <v>58</v>
      </c>
      <c r="V74" t="s">
        <v>3812</v>
      </c>
      <c r="W74" s="88" t="s">
        <v>4034</v>
      </c>
    </row>
    <row r="75" spans="1:23" ht="14.4">
      <c r="A75" s="7" t="s">
        <v>33</v>
      </c>
      <c r="B75" t="s">
        <v>18</v>
      </c>
      <c r="C75" t="s">
        <v>19</v>
      </c>
      <c r="D75" s="7" t="s">
        <v>263</v>
      </c>
      <c r="E75" s="7" t="s">
        <v>264</v>
      </c>
      <c r="F75" s="7" t="s">
        <v>265</v>
      </c>
      <c r="G75" s="7" t="s">
        <v>2584</v>
      </c>
      <c r="H75" s="85" t="s">
        <v>2842</v>
      </c>
      <c r="I75" s="85" t="s">
        <v>2739</v>
      </c>
      <c r="J75" s="85" t="s">
        <v>2843</v>
      </c>
      <c r="K75" s="85" t="s">
        <v>16</v>
      </c>
      <c r="L75" s="85">
        <v>2</v>
      </c>
      <c r="M75" s="20">
        <f>Table9[[#This Row],[Rate
(Please Select from the list)]]/5</f>
        <v>0.4</v>
      </c>
      <c r="N75" s="73">
        <v>2.94</v>
      </c>
      <c r="O75" s="74">
        <f>Table9[[#This Row],[Score %]]*Table9[[#This Row],[Item Weight
(Please Select from the list)]]</f>
        <v>1.1759999999999999</v>
      </c>
      <c r="P75" s="80">
        <v>4</v>
      </c>
      <c r="Q75" t="s">
        <v>31</v>
      </c>
      <c r="R75" t="s">
        <v>3861</v>
      </c>
      <c r="S75" t="s">
        <v>29</v>
      </c>
      <c r="T75" s="86">
        <v>45421</v>
      </c>
      <c r="U75" t="s">
        <v>14</v>
      </c>
      <c r="V75" t="s">
        <v>3847</v>
      </c>
      <c r="W75" s="88" t="s">
        <v>4034</v>
      </c>
    </row>
    <row r="76" spans="1:23" ht="14.4">
      <c r="A76" s="7" t="s">
        <v>33</v>
      </c>
      <c r="B76" t="s">
        <v>18</v>
      </c>
      <c r="C76" t="s">
        <v>19</v>
      </c>
      <c r="D76" s="7" t="s">
        <v>266</v>
      </c>
      <c r="E76" s="7" t="s">
        <v>267</v>
      </c>
      <c r="F76" s="7" t="s">
        <v>268</v>
      </c>
      <c r="G76" s="7" t="s">
        <v>2584</v>
      </c>
      <c r="H76" s="85" t="s">
        <v>2844</v>
      </c>
      <c r="I76" s="85" t="s">
        <v>2739</v>
      </c>
      <c r="J76" s="85" t="s">
        <v>2845</v>
      </c>
      <c r="K76" s="85" t="s">
        <v>16</v>
      </c>
      <c r="L76" s="85">
        <v>2</v>
      </c>
      <c r="M76" s="20">
        <f>Table9[[#This Row],[Rate
(Please Select from the list)]]/5</f>
        <v>0.4</v>
      </c>
      <c r="N76" s="73">
        <v>3.68</v>
      </c>
      <c r="O76" s="74">
        <f>Table9[[#This Row],[Score %]]*Table9[[#This Row],[Item Weight
(Please Select from the list)]]</f>
        <v>1.4720000000000002</v>
      </c>
      <c r="P76" s="80">
        <v>5</v>
      </c>
      <c r="Q76" t="s">
        <v>31</v>
      </c>
      <c r="R76" t="s">
        <v>3862</v>
      </c>
      <c r="S76" t="s">
        <v>13</v>
      </c>
      <c r="T76" t="s">
        <v>3820</v>
      </c>
      <c r="U76" t="s">
        <v>30</v>
      </c>
      <c r="V76" t="s">
        <v>3834</v>
      </c>
      <c r="W76" s="88" t="s">
        <v>4034</v>
      </c>
    </row>
    <row r="77" spans="1:23" ht="14.4">
      <c r="A77" s="7" t="s">
        <v>33</v>
      </c>
      <c r="B77" t="s">
        <v>1541</v>
      </c>
      <c r="C77" t="s">
        <v>34</v>
      </c>
      <c r="D77" s="7" t="s">
        <v>269</v>
      </c>
      <c r="E77" s="7" t="s">
        <v>270</v>
      </c>
      <c r="F77" s="7" t="s">
        <v>271</v>
      </c>
      <c r="G77" s="7" t="s">
        <v>2584</v>
      </c>
      <c r="H77" s="85" t="s">
        <v>2846</v>
      </c>
      <c r="I77" s="85" t="s">
        <v>2748</v>
      </c>
      <c r="J77" s="85"/>
      <c r="K77" s="85" t="s">
        <v>855</v>
      </c>
      <c r="L77" s="85">
        <v>5</v>
      </c>
      <c r="M77" s="20">
        <f>Table9[[#This Row],[Rate
(Please Select from the list)]]/5</f>
        <v>1</v>
      </c>
      <c r="N77" s="73">
        <v>2.94</v>
      </c>
      <c r="O77" s="74">
        <f>Table9[[#This Row],[Score %]]*Table9[[#This Row],[Item Weight
(Please Select from the list)]]</f>
        <v>2.94</v>
      </c>
      <c r="P77" s="80">
        <v>4</v>
      </c>
      <c r="Q77" t="s">
        <v>15</v>
      </c>
      <c r="R77"/>
      <c r="S77" t="s">
        <v>57</v>
      </c>
      <c r="T77"/>
      <c r="U77" t="s">
        <v>44</v>
      </c>
      <c r="V77" t="s">
        <v>3851</v>
      </c>
      <c r="W77" s="88" t="s">
        <v>4034</v>
      </c>
    </row>
    <row r="78" spans="1:23" ht="14.4">
      <c r="A78" s="7" t="s">
        <v>33</v>
      </c>
      <c r="B78" t="s">
        <v>1544</v>
      </c>
      <c r="C78" t="s">
        <v>2459</v>
      </c>
      <c r="D78" s="7" t="s">
        <v>272</v>
      </c>
      <c r="E78" s="7" t="s">
        <v>273</v>
      </c>
      <c r="F78" s="7" t="s">
        <v>274</v>
      </c>
      <c r="G78" s="7" t="s">
        <v>2584</v>
      </c>
      <c r="H78" s="85" t="s">
        <v>2847</v>
      </c>
      <c r="I78" s="85" t="s">
        <v>2725</v>
      </c>
      <c r="J78" s="85" t="s">
        <v>2848</v>
      </c>
      <c r="K78" s="85" t="s">
        <v>16</v>
      </c>
      <c r="L78" s="85">
        <v>1</v>
      </c>
      <c r="M78" s="20">
        <f>Table9[[#This Row],[Rate
(Please Select from the list)]]/5</f>
        <v>0.2</v>
      </c>
      <c r="N78" s="73">
        <v>2.94</v>
      </c>
      <c r="O78" s="74">
        <f>Table9[[#This Row],[Score %]]*Table9[[#This Row],[Item Weight
(Please Select from the list)]]</f>
        <v>0.58799999999999997</v>
      </c>
      <c r="P78" s="80">
        <v>4</v>
      </c>
      <c r="Q78" t="s">
        <v>3852</v>
      </c>
      <c r="R78" t="s">
        <v>3863</v>
      </c>
      <c r="S78" t="s">
        <v>13</v>
      </c>
      <c r="T78" t="s">
        <v>3820</v>
      </c>
      <c r="U78" t="s">
        <v>30</v>
      </c>
      <c r="V78" t="s">
        <v>3827</v>
      </c>
      <c r="W78" s="88" t="s">
        <v>4034</v>
      </c>
    </row>
    <row r="79" spans="1:23" ht="14.4">
      <c r="A79" s="7" t="s">
        <v>33</v>
      </c>
      <c r="B79" t="s">
        <v>1567</v>
      </c>
      <c r="C79" t="s">
        <v>1542</v>
      </c>
      <c r="D79" s="7" t="s">
        <v>275</v>
      </c>
      <c r="E79" s="7" t="s">
        <v>276</v>
      </c>
      <c r="F79" s="7" t="s">
        <v>277</v>
      </c>
      <c r="G79" s="7" t="s">
        <v>2584</v>
      </c>
      <c r="H79" s="85" t="s">
        <v>2849</v>
      </c>
      <c r="I79" s="85" t="s">
        <v>2754</v>
      </c>
      <c r="J79" s="85" t="s">
        <v>2850</v>
      </c>
      <c r="K79" s="85" t="s">
        <v>16</v>
      </c>
      <c r="L79" s="85">
        <v>3</v>
      </c>
      <c r="M79" s="20">
        <f>Table9[[#This Row],[Rate
(Please Select from the list)]]/5</f>
        <v>0.6</v>
      </c>
      <c r="N79" s="73">
        <v>2.94</v>
      </c>
      <c r="O79" s="74">
        <f>Table9[[#This Row],[Score %]]*Table9[[#This Row],[Item Weight
(Please Select from the list)]]</f>
        <v>1.764</v>
      </c>
      <c r="P79" s="80">
        <v>4</v>
      </c>
      <c r="Q79" t="s">
        <v>15</v>
      </c>
      <c r="R79"/>
      <c r="S79" t="s">
        <v>43</v>
      </c>
      <c r="T79"/>
      <c r="U79" t="s">
        <v>58</v>
      </c>
      <c r="V79" t="s">
        <v>3817</v>
      </c>
      <c r="W79" s="88" t="s">
        <v>4034</v>
      </c>
    </row>
    <row r="80" spans="1:23" ht="14.4">
      <c r="A80" s="7" t="s">
        <v>33</v>
      </c>
      <c r="B80" t="s">
        <v>1545</v>
      </c>
      <c r="C80" t="s">
        <v>1543</v>
      </c>
      <c r="D80" s="7" t="s">
        <v>278</v>
      </c>
      <c r="E80" s="7" t="s">
        <v>279</v>
      </c>
      <c r="F80" s="7" t="s">
        <v>280</v>
      </c>
      <c r="G80" s="7" t="s">
        <v>2584</v>
      </c>
      <c r="H80" s="85" t="s">
        <v>2851</v>
      </c>
      <c r="I80" s="85" t="s">
        <v>2716</v>
      </c>
      <c r="J80" s="85" t="s">
        <v>2852</v>
      </c>
      <c r="K80" s="85" t="s">
        <v>16</v>
      </c>
      <c r="L80" s="85">
        <v>3</v>
      </c>
      <c r="M80" s="20">
        <f>Table9[[#This Row],[Rate
(Please Select from the list)]]/5</f>
        <v>0.6</v>
      </c>
      <c r="N80" s="73">
        <v>2.94</v>
      </c>
      <c r="O80" s="74">
        <f>Table9[[#This Row],[Score %]]*Table9[[#This Row],[Item Weight
(Please Select from the list)]]</f>
        <v>1.764</v>
      </c>
      <c r="P80" s="80">
        <v>4</v>
      </c>
      <c r="Q80" t="s">
        <v>3852</v>
      </c>
      <c r="R80" t="s">
        <v>3864</v>
      </c>
      <c r="S80" t="s">
        <v>29</v>
      </c>
      <c r="T80" s="86">
        <v>45421</v>
      </c>
      <c r="U80" t="s">
        <v>30</v>
      </c>
      <c r="V80" t="s">
        <v>3813</v>
      </c>
      <c r="W80" s="88" t="s">
        <v>4034</v>
      </c>
    </row>
    <row r="81" spans="1:23" ht="14.4">
      <c r="A81" s="7" t="s">
        <v>33</v>
      </c>
      <c r="B81" t="s">
        <v>2464</v>
      </c>
      <c r="C81" t="s">
        <v>124</v>
      </c>
      <c r="D81" s="7" t="s">
        <v>281</v>
      </c>
      <c r="E81" s="7" t="s">
        <v>282</v>
      </c>
      <c r="F81" s="7" t="s">
        <v>283</v>
      </c>
      <c r="G81" s="7" t="s">
        <v>2584</v>
      </c>
      <c r="H81" s="85" t="s">
        <v>2853</v>
      </c>
      <c r="I81" s="85" t="s">
        <v>2739</v>
      </c>
      <c r="J81" s="85" t="s">
        <v>2854</v>
      </c>
      <c r="K81" s="85" t="s">
        <v>16</v>
      </c>
      <c r="L81" s="85">
        <v>3</v>
      </c>
      <c r="M81" s="20">
        <f>Table9[[#This Row],[Rate
(Please Select from the list)]]/5</f>
        <v>0.6</v>
      </c>
      <c r="N81" s="73">
        <v>2.94</v>
      </c>
      <c r="O81" s="74">
        <f>Table9[[#This Row],[Score %]]*Table9[[#This Row],[Item Weight
(Please Select from the list)]]</f>
        <v>1.764</v>
      </c>
      <c r="P81" s="80">
        <v>4</v>
      </c>
      <c r="Q81" t="s">
        <v>15</v>
      </c>
      <c r="R81"/>
      <c r="S81" t="s">
        <v>43</v>
      </c>
      <c r="T81"/>
      <c r="U81" t="s">
        <v>58</v>
      </c>
      <c r="V81" t="s">
        <v>3815</v>
      </c>
      <c r="W81" s="88" t="s">
        <v>4034</v>
      </c>
    </row>
    <row r="82" spans="1:23" ht="14.4">
      <c r="A82" s="7" t="s">
        <v>33</v>
      </c>
      <c r="B82"/>
      <c r="C82" t="s">
        <v>1511</v>
      </c>
      <c r="D82" s="7" t="s">
        <v>284</v>
      </c>
      <c r="E82" s="7" t="s">
        <v>285</v>
      </c>
      <c r="F82" s="7" t="s">
        <v>286</v>
      </c>
      <c r="G82" s="7" t="s">
        <v>2584</v>
      </c>
      <c r="H82" s="85" t="s">
        <v>2855</v>
      </c>
      <c r="I82" s="85" t="s">
        <v>2795</v>
      </c>
      <c r="J82" s="85" t="s">
        <v>2856</v>
      </c>
      <c r="K82" s="85" t="s">
        <v>16</v>
      </c>
      <c r="L82" s="85">
        <v>3</v>
      </c>
      <c r="M82" s="20">
        <f>Table9[[#This Row],[Rate
(Please Select from the list)]]/5</f>
        <v>0.6</v>
      </c>
      <c r="N82" s="73">
        <v>2.94</v>
      </c>
      <c r="O82" s="74">
        <f>Table9[[#This Row],[Score %]]*Table9[[#This Row],[Item Weight
(Please Select from the list)]]</f>
        <v>1.764</v>
      </c>
      <c r="P82" s="80">
        <v>4</v>
      </c>
      <c r="Q82" t="s">
        <v>15</v>
      </c>
      <c r="R82"/>
      <c r="S82" t="s">
        <v>29</v>
      </c>
      <c r="T82"/>
      <c r="U82" t="s">
        <v>44</v>
      </c>
      <c r="V82" t="s">
        <v>3825</v>
      </c>
      <c r="W82" s="88" t="s">
        <v>4034</v>
      </c>
    </row>
    <row r="83" spans="1:23" ht="14.4">
      <c r="A83" s="7" t="s">
        <v>33</v>
      </c>
      <c r="B83" t="s">
        <v>2465</v>
      </c>
      <c r="C83" t="s">
        <v>75</v>
      </c>
      <c r="D83" s="7" t="s">
        <v>287</v>
      </c>
      <c r="E83" s="7" t="s">
        <v>288</v>
      </c>
      <c r="F83" s="7" t="s">
        <v>289</v>
      </c>
      <c r="G83" s="7" t="s">
        <v>2584</v>
      </c>
      <c r="H83" s="85" t="s">
        <v>2857</v>
      </c>
      <c r="I83" s="85" t="s">
        <v>2748</v>
      </c>
      <c r="J83" s="85" t="s">
        <v>2858</v>
      </c>
      <c r="K83" s="85" t="s">
        <v>16</v>
      </c>
      <c r="L83" s="85">
        <v>2</v>
      </c>
      <c r="M83" s="20">
        <f>Table9[[#This Row],[Rate
(Please Select from the list)]]/5</f>
        <v>0.4</v>
      </c>
      <c r="N83" s="73">
        <v>2.94</v>
      </c>
      <c r="O83" s="74">
        <f>Table9[[#This Row],[Score %]]*Table9[[#This Row],[Item Weight
(Please Select from the list)]]</f>
        <v>1.1759999999999999</v>
      </c>
      <c r="P83" s="80">
        <v>4</v>
      </c>
      <c r="Q83" t="s">
        <v>15</v>
      </c>
      <c r="R83" t="s">
        <v>3865</v>
      </c>
      <c r="S83" t="s">
        <v>29</v>
      </c>
      <c r="T83" s="86">
        <v>45421</v>
      </c>
      <c r="U83" t="s">
        <v>30</v>
      </c>
      <c r="V83" t="s">
        <v>3823</v>
      </c>
      <c r="W83" s="88" t="s">
        <v>4034</v>
      </c>
    </row>
    <row r="84" spans="1:23" ht="14.4">
      <c r="A84" s="7" t="s">
        <v>33</v>
      </c>
      <c r="B84"/>
      <c r="C84" t="s">
        <v>2461</v>
      </c>
      <c r="D84" s="7" t="s">
        <v>290</v>
      </c>
      <c r="E84" s="7" t="s">
        <v>291</v>
      </c>
      <c r="F84" s="7" t="s">
        <v>292</v>
      </c>
      <c r="G84" s="7" t="s">
        <v>2584</v>
      </c>
      <c r="H84" s="85" t="s">
        <v>2859</v>
      </c>
      <c r="I84" s="85" t="s">
        <v>2754</v>
      </c>
      <c r="J84" s="85" t="s">
        <v>2860</v>
      </c>
      <c r="K84" s="85" t="s">
        <v>16</v>
      </c>
      <c r="L84" s="85">
        <v>3</v>
      </c>
      <c r="M84" s="20">
        <f>Table9[[#This Row],[Rate
(Please Select from the list)]]/5</f>
        <v>0.6</v>
      </c>
      <c r="N84" s="73">
        <v>2.94</v>
      </c>
      <c r="O84" s="74">
        <f>Table9[[#This Row],[Score %]]*Table9[[#This Row],[Item Weight
(Please Select from the list)]]</f>
        <v>1.764</v>
      </c>
      <c r="P84" s="80">
        <v>4</v>
      </c>
      <c r="Q84" t="s">
        <v>31</v>
      </c>
      <c r="R84" t="s">
        <v>3866</v>
      </c>
      <c r="S84" t="s">
        <v>29</v>
      </c>
      <c r="T84" s="86">
        <v>45421</v>
      </c>
      <c r="U84" t="s">
        <v>30</v>
      </c>
      <c r="V84" t="s">
        <v>3813</v>
      </c>
      <c r="W84" s="88" t="s">
        <v>4034</v>
      </c>
    </row>
    <row r="85" spans="1:23" ht="14.4">
      <c r="A85" s="7" t="s">
        <v>33</v>
      </c>
      <c r="B85" t="s">
        <v>18</v>
      </c>
      <c r="C85" t="s">
        <v>19</v>
      </c>
      <c r="D85" s="7" t="s">
        <v>293</v>
      </c>
      <c r="E85" s="7" t="s">
        <v>294</v>
      </c>
      <c r="F85" s="7" t="s">
        <v>295</v>
      </c>
      <c r="G85" s="7" t="s">
        <v>2584</v>
      </c>
      <c r="H85" s="85" t="s">
        <v>2861</v>
      </c>
      <c r="I85" s="85" t="s">
        <v>2748</v>
      </c>
      <c r="J85" s="85" t="s">
        <v>2862</v>
      </c>
      <c r="K85" s="85" t="s">
        <v>16</v>
      </c>
      <c r="L85" s="85">
        <v>3</v>
      </c>
      <c r="M85" s="20">
        <f>Table9[[#This Row],[Rate
(Please Select from the list)]]/5</f>
        <v>0.6</v>
      </c>
      <c r="N85" s="73">
        <v>2.94</v>
      </c>
      <c r="O85" s="74">
        <f>Table9[[#This Row],[Score %]]*Table9[[#This Row],[Item Weight
(Please Select from the list)]]</f>
        <v>1.764</v>
      </c>
      <c r="P85" s="80">
        <v>4</v>
      </c>
      <c r="Q85" t="s">
        <v>15</v>
      </c>
      <c r="R85" t="s">
        <v>3867</v>
      </c>
      <c r="S85" t="s">
        <v>29</v>
      </c>
      <c r="T85" s="86">
        <v>45421</v>
      </c>
      <c r="U85" t="s">
        <v>14</v>
      </c>
      <c r="V85" t="s">
        <v>3825</v>
      </c>
      <c r="W85" s="88" t="s">
        <v>4034</v>
      </c>
    </row>
    <row r="86" spans="1:23" ht="14.4">
      <c r="A86" s="7" t="s">
        <v>33</v>
      </c>
      <c r="B86" t="s">
        <v>18</v>
      </c>
      <c r="C86" t="s">
        <v>19</v>
      </c>
      <c r="D86" s="7" t="s">
        <v>296</v>
      </c>
      <c r="E86" s="7" t="s">
        <v>297</v>
      </c>
      <c r="F86" s="7" t="s">
        <v>298</v>
      </c>
      <c r="G86" s="7" t="s">
        <v>2584</v>
      </c>
      <c r="H86" s="85" t="s">
        <v>2863</v>
      </c>
      <c r="I86" s="85" t="s">
        <v>2718</v>
      </c>
      <c r="J86" s="85" t="s">
        <v>2864</v>
      </c>
      <c r="K86" s="85" t="s">
        <v>16</v>
      </c>
      <c r="L86" s="85">
        <v>3</v>
      </c>
      <c r="M86" s="20">
        <f>Table9[[#This Row],[Rate
(Please Select from the list)]]/5</f>
        <v>0.6</v>
      </c>
      <c r="N86" s="73">
        <v>2.94</v>
      </c>
      <c r="O86" s="74">
        <f>Table9[[#This Row],[Score %]]*Table9[[#This Row],[Item Weight
(Please Select from the list)]]</f>
        <v>1.764</v>
      </c>
      <c r="P86" s="80">
        <v>4</v>
      </c>
      <c r="Q86" t="s">
        <v>31</v>
      </c>
      <c r="R86" t="s">
        <v>3868</v>
      </c>
      <c r="S86" t="s">
        <v>43</v>
      </c>
      <c r="T86" t="s">
        <v>3844</v>
      </c>
      <c r="U86" t="s">
        <v>30</v>
      </c>
      <c r="V86" t="s">
        <v>3813</v>
      </c>
      <c r="W86" s="88" t="s">
        <v>4034</v>
      </c>
    </row>
    <row r="87" spans="1:23" ht="14.4">
      <c r="A87" s="7" t="s">
        <v>33</v>
      </c>
      <c r="B87"/>
      <c r="C87" t="s">
        <v>1546</v>
      </c>
      <c r="D87" s="7" t="s">
        <v>299</v>
      </c>
      <c r="E87" s="7" t="s">
        <v>300</v>
      </c>
      <c r="F87" s="7" t="s">
        <v>301</v>
      </c>
      <c r="G87" s="7" t="s">
        <v>2584</v>
      </c>
      <c r="H87" s="85" t="s">
        <v>2865</v>
      </c>
      <c r="I87" s="85" t="s">
        <v>2748</v>
      </c>
      <c r="J87" s="85" t="s">
        <v>2866</v>
      </c>
      <c r="K87" s="85" t="s">
        <v>16</v>
      </c>
      <c r="L87" s="85">
        <v>2</v>
      </c>
      <c r="M87" s="20">
        <f>Table9[[#This Row],[Rate
(Please Select from the list)]]/5</f>
        <v>0.4</v>
      </c>
      <c r="N87" s="73">
        <v>2.94</v>
      </c>
      <c r="O87" s="74">
        <f>Table9[[#This Row],[Score %]]*Table9[[#This Row],[Item Weight
(Please Select from the list)]]</f>
        <v>1.1759999999999999</v>
      </c>
      <c r="P87" s="80">
        <v>4</v>
      </c>
      <c r="Q87" t="s">
        <v>15</v>
      </c>
      <c r="R87" t="s">
        <v>3869</v>
      </c>
      <c r="S87" t="s">
        <v>29</v>
      </c>
      <c r="T87" s="86">
        <v>45421</v>
      </c>
      <c r="U87" t="s">
        <v>14</v>
      </c>
      <c r="V87" t="s">
        <v>3831</v>
      </c>
      <c r="W87" s="88" t="s">
        <v>4034</v>
      </c>
    </row>
    <row r="88" spans="1:23" ht="14.4">
      <c r="A88" s="7" t="s">
        <v>33</v>
      </c>
      <c r="B88"/>
      <c r="C88" t="s">
        <v>84</v>
      </c>
      <c r="D88" s="7" t="s">
        <v>302</v>
      </c>
      <c r="E88" s="7" t="s">
        <v>303</v>
      </c>
      <c r="F88" s="7" t="s">
        <v>304</v>
      </c>
      <c r="G88" s="7" t="s">
        <v>2584</v>
      </c>
      <c r="H88" s="85" t="s">
        <v>2867</v>
      </c>
      <c r="I88" s="85" t="s">
        <v>2728</v>
      </c>
      <c r="J88" s="85" t="s">
        <v>2868</v>
      </c>
      <c r="K88" s="85" t="s">
        <v>16</v>
      </c>
      <c r="L88" s="85">
        <v>2</v>
      </c>
      <c r="M88" s="20">
        <f>Table9[[#This Row],[Rate
(Please Select from the list)]]/5</f>
        <v>0.4</v>
      </c>
      <c r="N88" s="73">
        <v>2.94</v>
      </c>
      <c r="O88" s="74">
        <f>Table9[[#This Row],[Score %]]*Table9[[#This Row],[Item Weight
(Please Select from the list)]]</f>
        <v>1.1759999999999999</v>
      </c>
      <c r="P88" s="80">
        <v>4</v>
      </c>
      <c r="Q88" t="s">
        <v>59</v>
      </c>
      <c r="R88" t="s">
        <v>3870</v>
      </c>
      <c r="S88" t="s">
        <v>29</v>
      </c>
      <c r="T88" s="86">
        <v>45421</v>
      </c>
      <c r="U88" t="s">
        <v>30</v>
      </c>
      <c r="V88" t="s">
        <v>3859</v>
      </c>
      <c r="W88" s="88" t="s">
        <v>4034</v>
      </c>
    </row>
    <row r="89" spans="1:23" ht="14.4">
      <c r="A89" s="7" t="s">
        <v>33</v>
      </c>
      <c r="B89" t="s">
        <v>18</v>
      </c>
      <c r="C89" t="s">
        <v>19</v>
      </c>
      <c r="D89" s="7" t="s">
        <v>305</v>
      </c>
      <c r="E89" s="7" t="s">
        <v>306</v>
      </c>
      <c r="F89" s="7" t="s">
        <v>307</v>
      </c>
      <c r="G89" s="7" t="s">
        <v>2584</v>
      </c>
      <c r="H89" s="85" t="s">
        <v>2869</v>
      </c>
      <c r="I89" s="85" t="s">
        <v>2731</v>
      </c>
      <c r="J89" s="85"/>
      <c r="K89" s="85" t="s">
        <v>16</v>
      </c>
      <c r="L89" s="85">
        <v>4</v>
      </c>
      <c r="M89" s="20">
        <f>Table9[[#This Row],[Rate
(Please Select from the list)]]/5</f>
        <v>0.8</v>
      </c>
      <c r="N89" s="73">
        <v>2.94</v>
      </c>
      <c r="O89" s="74">
        <f>Table9[[#This Row],[Score %]]*Table9[[#This Row],[Item Weight
(Please Select from the list)]]</f>
        <v>2.3519999999999999</v>
      </c>
      <c r="P89" s="80">
        <v>4</v>
      </c>
      <c r="Q89" t="s">
        <v>59</v>
      </c>
      <c r="R89"/>
      <c r="S89" t="s">
        <v>57</v>
      </c>
      <c r="T89"/>
      <c r="U89" t="s">
        <v>58</v>
      </c>
      <c r="V89" t="s">
        <v>3812</v>
      </c>
      <c r="W89" s="88" t="s">
        <v>4034</v>
      </c>
    </row>
    <row r="90" spans="1:23" ht="14.4">
      <c r="A90" s="7" t="s">
        <v>33</v>
      </c>
      <c r="B90" t="s">
        <v>18</v>
      </c>
      <c r="C90" t="s">
        <v>19</v>
      </c>
      <c r="D90" s="7" t="s">
        <v>308</v>
      </c>
      <c r="E90" s="7" t="s">
        <v>309</v>
      </c>
      <c r="F90" s="7" t="s">
        <v>310</v>
      </c>
      <c r="G90" s="7" t="s">
        <v>2584</v>
      </c>
      <c r="H90" s="85" t="s">
        <v>2870</v>
      </c>
      <c r="I90" s="85" t="s">
        <v>2748</v>
      </c>
      <c r="J90" s="85" t="s">
        <v>2871</v>
      </c>
      <c r="K90" s="85" t="s">
        <v>16</v>
      </c>
      <c r="L90" s="85">
        <v>2</v>
      </c>
      <c r="M90" s="20">
        <f>Table9[[#This Row],[Rate
(Please Select from the list)]]/5</f>
        <v>0.4</v>
      </c>
      <c r="N90" s="73">
        <v>2.94</v>
      </c>
      <c r="O90" s="74">
        <f>Table9[[#This Row],[Score %]]*Table9[[#This Row],[Item Weight
(Please Select from the list)]]</f>
        <v>1.1759999999999999</v>
      </c>
      <c r="P90" s="80">
        <v>4</v>
      </c>
      <c r="Q90" t="s">
        <v>3852</v>
      </c>
      <c r="R90" t="s">
        <v>3871</v>
      </c>
      <c r="S90" t="s">
        <v>13</v>
      </c>
      <c r="T90" t="s">
        <v>3820</v>
      </c>
      <c r="U90" t="s">
        <v>30</v>
      </c>
      <c r="V90" t="s">
        <v>3847</v>
      </c>
      <c r="W90" s="88" t="s">
        <v>4034</v>
      </c>
    </row>
    <row r="91" spans="1:23" ht="14.4">
      <c r="A91" s="7" t="s">
        <v>33</v>
      </c>
      <c r="B91"/>
      <c r="C91" t="s">
        <v>94</v>
      </c>
      <c r="D91" s="7" t="s">
        <v>311</v>
      </c>
      <c r="E91" s="7" t="s">
        <v>312</v>
      </c>
      <c r="F91" s="7" t="s">
        <v>313</v>
      </c>
      <c r="G91" s="7" t="s">
        <v>2584</v>
      </c>
      <c r="H91" s="85" t="s">
        <v>2872</v>
      </c>
      <c r="I91" s="85" t="s">
        <v>2716</v>
      </c>
      <c r="J91" s="85" t="s">
        <v>2873</v>
      </c>
      <c r="K91" s="85" t="s">
        <v>16</v>
      </c>
      <c r="L91" s="85">
        <v>3</v>
      </c>
      <c r="M91" s="20">
        <f>Table9[[#This Row],[Rate
(Please Select from the list)]]/5</f>
        <v>0.6</v>
      </c>
      <c r="N91" s="73">
        <v>2.94</v>
      </c>
      <c r="O91" s="74">
        <f>Table9[[#This Row],[Score %]]*Table9[[#This Row],[Item Weight
(Please Select from the list)]]</f>
        <v>1.764</v>
      </c>
      <c r="P91" s="80">
        <v>4</v>
      </c>
      <c r="Q91" t="s">
        <v>46</v>
      </c>
      <c r="R91"/>
      <c r="S91" t="s">
        <v>43</v>
      </c>
      <c r="T91"/>
      <c r="U91" t="s">
        <v>44</v>
      </c>
      <c r="V91" t="s">
        <v>3817</v>
      </c>
      <c r="W91" s="88" t="s">
        <v>4034</v>
      </c>
    </row>
    <row r="92" spans="1:23" ht="14.4">
      <c r="A92" s="7" t="s">
        <v>33</v>
      </c>
      <c r="B92"/>
      <c r="C92" t="s">
        <v>110</v>
      </c>
      <c r="D92" s="7" t="s">
        <v>314</v>
      </c>
      <c r="E92" s="7" t="s">
        <v>315</v>
      </c>
      <c r="F92" s="7" t="s">
        <v>316</v>
      </c>
      <c r="G92" s="7" t="s">
        <v>2584</v>
      </c>
      <c r="H92" s="85" t="s">
        <v>2874</v>
      </c>
      <c r="I92" s="85" t="s">
        <v>2795</v>
      </c>
      <c r="J92" s="85" t="s">
        <v>2875</v>
      </c>
      <c r="K92" s="85" t="s">
        <v>16</v>
      </c>
      <c r="L92" s="85">
        <v>2</v>
      </c>
      <c r="M92" s="20">
        <f>Table9[[#This Row],[Rate
(Please Select from the list)]]/5</f>
        <v>0.4</v>
      </c>
      <c r="N92" s="73">
        <v>2.94</v>
      </c>
      <c r="O92" s="74">
        <f>Table9[[#This Row],[Score %]]*Table9[[#This Row],[Item Weight
(Please Select from the list)]]</f>
        <v>1.1759999999999999</v>
      </c>
      <c r="P92" s="80">
        <v>4</v>
      </c>
      <c r="Q92" t="s">
        <v>31</v>
      </c>
      <c r="R92" t="s">
        <v>3872</v>
      </c>
      <c r="S92" t="s">
        <v>13</v>
      </c>
      <c r="T92" t="s">
        <v>3820</v>
      </c>
      <c r="U92" t="s">
        <v>14</v>
      </c>
      <c r="V92" t="s">
        <v>3847</v>
      </c>
      <c r="W92" s="88" t="s">
        <v>4034</v>
      </c>
    </row>
    <row r="93" spans="1:23" ht="14.4">
      <c r="A93" s="7" t="s">
        <v>33</v>
      </c>
      <c r="B93"/>
      <c r="C93" t="s">
        <v>1548</v>
      </c>
      <c r="D93" s="7" t="s">
        <v>317</v>
      </c>
      <c r="E93" s="7" t="s">
        <v>318</v>
      </c>
      <c r="F93" s="7" t="s">
        <v>319</v>
      </c>
      <c r="G93" s="7" t="s">
        <v>2584</v>
      </c>
      <c r="H93" s="85" t="s">
        <v>2876</v>
      </c>
      <c r="I93" s="85" t="s">
        <v>2716</v>
      </c>
      <c r="J93" s="85"/>
      <c r="K93" s="85" t="s">
        <v>47</v>
      </c>
      <c r="L93" s="85">
        <v>4</v>
      </c>
      <c r="M93" s="20">
        <f>Table9[[#This Row],[Rate
(Please Select from the list)]]/5</f>
        <v>0.8</v>
      </c>
      <c r="N93" s="73">
        <v>2.94</v>
      </c>
      <c r="O93" s="74">
        <f>Table9[[#This Row],[Score %]]*Table9[[#This Row],[Item Weight
(Please Select from the list)]]</f>
        <v>2.3519999999999999</v>
      </c>
      <c r="P93" s="80">
        <v>4</v>
      </c>
      <c r="Q93" t="s">
        <v>46</v>
      </c>
      <c r="R93"/>
      <c r="S93" t="s">
        <v>57</v>
      </c>
      <c r="T93"/>
      <c r="U93" t="s">
        <v>58</v>
      </c>
      <c r="V93" t="s">
        <v>3812</v>
      </c>
      <c r="W93" s="88" t="s">
        <v>4034</v>
      </c>
    </row>
    <row r="94" spans="1:23" ht="14.4">
      <c r="A94" s="7" t="s">
        <v>33</v>
      </c>
      <c r="B94"/>
      <c r="C94" t="s">
        <v>2462</v>
      </c>
      <c r="D94" s="7" t="s">
        <v>320</v>
      </c>
      <c r="E94" s="7" t="s">
        <v>321</v>
      </c>
      <c r="F94" s="7" t="s">
        <v>322</v>
      </c>
      <c r="G94" s="7" t="s">
        <v>2584</v>
      </c>
      <c r="H94" s="85" t="s">
        <v>2877</v>
      </c>
      <c r="I94" s="85" t="s">
        <v>2718</v>
      </c>
      <c r="J94" s="85"/>
      <c r="K94" s="85" t="s">
        <v>855</v>
      </c>
      <c r="L94" s="85">
        <v>4</v>
      </c>
      <c r="M94" s="20">
        <f>Table9[[#This Row],[Rate
(Please Select from the list)]]/5</f>
        <v>0.8</v>
      </c>
      <c r="N94" s="73">
        <v>2.94</v>
      </c>
      <c r="O94" s="74">
        <f>Table9[[#This Row],[Score %]]*Table9[[#This Row],[Item Weight
(Please Select from the list)]]</f>
        <v>2.3519999999999999</v>
      </c>
      <c r="P94" s="80">
        <v>4</v>
      </c>
      <c r="Q94" t="s">
        <v>15</v>
      </c>
      <c r="R94"/>
      <c r="S94" t="s">
        <v>43</v>
      </c>
      <c r="T94"/>
      <c r="U94" t="s">
        <v>58</v>
      </c>
      <c r="V94" t="s">
        <v>3812</v>
      </c>
      <c r="W94" s="88" t="s">
        <v>4034</v>
      </c>
    </row>
    <row r="95" spans="1:23" ht="14.4">
      <c r="A95" s="7" t="s">
        <v>33</v>
      </c>
      <c r="B95" t="s">
        <v>18</v>
      </c>
      <c r="C95" t="s">
        <v>19</v>
      </c>
      <c r="D95" s="7" t="s">
        <v>323</v>
      </c>
      <c r="E95" s="7" t="s">
        <v>324</v>
      </c>
      <c r="F95" s="7" t="s">
        <v>325</v>
      </c>
      <c r="G95" s="7" t="s">
        <v>2584</v>
      </c>
      <c r="H95" s="85" t="s">
        <v>2878</v>
      </c>
      <c r="I95" s="85" t="s">
        <v>2731</v>
      </c>
      <c r="J95" s="85"/>
      <c r="K95" s="85" t="s">
        <v>16</v>
      </c>
      <c r="L95" s="85">
        <v>4</v>
      </c>
      <c r="M95" s="20">
        <f>Table9[[#This Row],[Rate
(Please Select from the list)]]/5</f>
        <v>0.8</v>
      </c>
      <c r="N95" s="73">
        <v>2.94</v>
      </c>
      <c r="O95" s="74">
        <f>Table9[[#This Row],[Score %]]*Table9[[#This Row],[Item Weight
(Please Select from the list)]]</f>
        <v>2.3519999999999999</v>
      </c>
      <c r="P95" s="80">
        <v>4</v>
      </c>
      <c r="Q95" t="s">
        <v>46</v>
      </c>
      <c r="R95"/>
      <c r="S95" t="s">
        <v>57</v>
      </c>
      <c r="T95"/>
      <c r="U95" t="s">
        <v>44</v>
      </c>
      <c r="V95" t="s">
        <v>3812</v>
      </c>
      <c r="W95" s="88" t="s">
        <v>4034</v>
      </c>
    </row>
    <row r="96" spans="1:23" ht="14.4">
      <c r="A96" s="7" t="s">
        <v>33</v>
      </c>
      <c r="B96" t="s">
        <v>18</v>
      </c>
      <c r="C96" t="s">
        <v>19</v>
      </c>
      <c r="D96" s="7" t="s">
        <v>326</v>
      </c>
      <c r="E96" s="7" t="s">
        <v>327</v>
      </c>
      <c r="F96" s="7" t="s">
        <v>328</v>
      </c>
      <c r="G96" s="7" t="s">
        <v>2584</v>
      </c>
      <c r="H96" s="85" t="s">
        <v>2879</v>
      </c>
      <c r="I96" s="85" t="s">
        <v>2795</v>
      </c>
      <c r="J96" s="85"/>
      <c r="K96" s="85" t="s">
        <v>47</v>
      </c>
      <c r="L96" s="85">
        <v>4</v>
      </c>
      <c r="M96" s="20">
        <f>Table9[[#This Row],[Rate
(Please Select from the list)]]/5</f>
        <v>0.8</v>
      </c>
      <c r="N96" s="73">
        <v>2.94</v>
      </c>
      <c r="O96" s="74">
        <f>Table9[[#This Row],[Score %]]*Table9[[#This Row],[Item Weight
(Please Select from the list)]]</f>
        <v>2.3519999999999999</v>
      </c>
      <c r="P96" s="80">
        <v>4</v>
      </c>
      <c r="Q96" t="s">
        <v>46</v>
      </c>
      <c r="R96"/>
      <c r="S96" t="s">
        <v>57</v>
      </c>
      <c r="T96"/>
      <c r="U96" t="s">
        <v>44</v>
      </c>
      <c r="V96" t="s">
        <v>3812</v>
      </c>
      <c r="W96" s="88" t="s">
        <v>4034</v>
      </c>
    </row>
    <row r="97" spans="1:23" ht="14.4">
      <c r="A97" s="7" t="s">
        <v>33</v>
      </c>
      <c r="B97" t="s">
        <v>104</v>
      </c>
      <c r="C97" t="s">
        <v>2460</v>
      </c>
      <c r="D97" s="7" t="s">
        <v>329</v>
      </c>
      <c r="E97" s="7" t="s">
        <v>330</v>
      </c>
      <c r="F97" s="7" t="s">
        <v>331</v>
      </c>
      <c r="G97" s="7" t="s">
        <v>2584</v>
      </c>
      <c r="H97" s="85" t="s">
        <v>2880</v>
      </c>
      <c r="I97" s="85" t="s">
        <v>2725</v>
      </c>
      <c r="J97" s="85"/>
      <c r="K97" s="85" t="s">
        <v>16</v>
      </c>
      <c r="L97" s="85">
        <v>4</v>
      </c>
      <c r="M97" s="20">
        <f>Table9[[#This Row],[Rate
(Please Select from the list)]]/5</f>
        <v>0.8</v>
      </c>
      <c r="N97" s="73">
        <v>2.94</v>
      </c>
      <c r="O97" s="74">
        <f>Table9[[#This Row],[Score %]]*Table9[[#This Row],[Item Weight
(Please Select from the list)]]</f>
        <v>2.3519999999999999</v>
      </c>
      <c r="P97" s="80">
        <v>4</v>
      </c>
      <c r="Q97" t="s">
        <v>46</v>
      </c>
      <c r="R97"/>
      <c r="S97" t="s">
        <v>57</v>
      </c>
      <c r="T97"/>
      <c r="U97" t="s">
        <v>58</v>
      </c>
      <c r="V97" t="s">
        <v>3812</v>
      </c>
      <c r="W97" s="88" t="s">
        <v>4034</v>
      </c>
    </row>
    <row r="98" spans="1:23" ht="14.4">
      <c r="A98" s="7" t="s">
        <v>33</v>
      </c>
      <c r="B98" t="s">
        <v>18</v>
      </c>
      <c r="C98" t="s">
        <v>19</v>
      </c>
      <c r="D98" s="7" t="s">
        <v>332</v>
      </c>
      <c r="E98" s="7" t="s">
        <v>333</v>
      </c>
      <c r="F98" s="7" t="s">
        <v>334</v>
      </c>
      <c r="G98" s="7" t="s">
        <v>2584</v>
      </c>
      <c r="H98" s="85" t="s">
        <v>2881</v>
      </c>
      <c r="I98" s="85" t="s">
        <v>2748</v>
      </c>
      <c r="J98" s="85"/>
      <c r="K98" s="85" t="s">
        <v>16</v>
      </c>
      <c r="L98" s="85">
        <v>5</v>
      </c>
      <c r="M98" s="20">
        <f>Table9[[#This Row],[Rate
(Please Select from the list)]]/5</f>
        <v>1</v>
      </c>
      <c r="N98" s="73">
        <v>2.94</v>
      </c>
      <c r="O98" s="74">
        <f>Table9[[#This Row],[Score %]]*Table9[[#This Row],[Item Weight
(Please Select from the list)]]</f>
        <v>2.94</v>
      </c>
      <c r="P98" s="80">
        <v>4</v>
      </c>
      <c r="Q98" t="s">
        <v>15</v>
      </c>
      <c r="R98"/>
      <c r="S98" t="s">
        <v>57</v>
      </c>
      <c r="T98"/>
      <c r="U98" t="s">
        <v>44</v>
      </c>
      <c r="V98" t="s">
        <v>3851</v>
      </c>
      <c r="W98" s="88" t="s">
        <v>4034</v>
      </c>
    </row>
    <row r="99" spans="1:23" ht="14.4">
      <c r="A99" s="7" t="s">
        <v>33</v>
      </c>
      <c r="B99" t="s">
        <v>18</v>
      </c>
      <c r="C99" t="s">
        <v>19</v>
      </c>
      <c r="D99" s="7" t="s">
        <v>335</v>
      </c>
      <c r="E99" s="7" t="s">
        <v>336</v>
      </c>
      <c r="F99" s="7" t="s">
        <v>232</v>
      </c>
      <c r="G99" s="7" t="s">
        <v>2584</v>
      </c>
      <c r="H99" s="85" t="s">
        <v>2882</v>
      </c>
      <c r="I99" s="85" t="s">
        <v>2728</v>
      </c>
      <c r="J99" s="85" t="s">
        <v>2883</v>
      </c>
      <c r="K99" s="85" t="s">
        <v>16</v>
      </c>
      <c r="L99" s="85">
        <v>3</v>
      </c>
      <c r="M99" s="20">
        <f>Table9[[#This Row],[Rate
(Please Select from the list)]]/5</f>
        <v>0.6</v>
      </c>
      <c r="N99" s="73">
        <v>2.21</v>
      </c>
      <c r="O99" s="74">
        <f>Table9[[#This Row],[Score %]]*Table9[[#This Row],[Item Weight
(Please Select from the list)]]</f>
        <v>1.3259999999999998</v>
      </c>
      <c r="P99" s="80">
        <v>3</v>
      </c>
      <c r="Q99" t="s">
        <v>15</v>
      </c>
      <c r="R99"/>
      <c r="S99" t="s">
        <v>43</v>
      </c>
      <c r="T99"/>
      <c r="U99" t="s">
        <v>44</v>
      </c>
      <c r="V99" t="s">
        <v>3817</v>
      </c>
      <c r="W99" s="88" t="s">
        <v>4034</v>
      </c>
    </row>
    <row r="100" spans="1:23" ht="14.4">
      <c r="A100" s="7" t="s">
        <v>33</v>
      </c>
      <c r="B100" t="s">
        <v>18</v>
      </c>
      <c r="C100" t="s">
        <v>19</v>
      </c>
      <c r="D100" s="7" t="s">
        <v>337</v>
      </c>
      <c r="E100" s="7" t="s">
        <v>338</v>
      </c>
      <c r="F100" s="7" t="s">
        <v>339</v>
      </c>
      <c r="G100" s="7" t="s">
        <v>2584</v>
      </c>
      <c r="H100" s="85" t="s">
        <v>2884</v>
      </c>
      <c r="I100" s="85" t="s">
        <v>2795</v>
      </c>
      <c r="J100" s="85" t="s">
        <v>2885</v>
      </c>
      <c r="K100" s="85" t="s">
        <v>16</v>
      </c>
      <c r="L100" s="85">
        <v>2</v>
      </c>
      <c r="M100" s="20">
        <f>Table9[[#This Row],[Rate
(Please Select from the list)]]/5</f>
        <v>0.4</v>
      </c>
      <c r="N100" s="73">
        <v>2.94</v>
      </c>
      <c r="O100" s="74">
        <f>Table9[[#This Row],[Score %]]*Table9[[#This Row],[Item Weight
(Please Select from the list)]]</f>
        <v>1.1759999999999999</v>
      </c>
      <c r="P100" s="80">
        <v>4</v>
      </c>
      <c r="Q100" t="s">
        <v>15</v>
      </c>
      <c r="R100" t="s">
        <v>3873</v>
      </c>
      <c r="S100" t="s">
        <v>13</v>
      </c>
      <c r="T100" t="s">
        <v>3820</v>
      </c>
      <c r="U100" t="s">
        <v>14</v>
      </c>
      <c r="V100" t="s">
        <v>3831</v>
      </c>
      <c r="W100" s="88" t="s">
        <v>4034</v>
      </c>
    </row>
    <row r="101" spans="1:23" ht="14.4">
      <c r="A101" s="7" t="s">
        <v>33</v>
      </c>
      <c r="B101" t="s">
        <v>18</v>
      </c>
      <c r="C101" t="s">
        <v>19</v>
      </c>
      <c r="D101" s="7" t="s">
        <v>340</v>
      </c>
      <c r="E101" s="7" t="s">
        <v>341</v>
      </c>
      <c r="F101" s="7" t="s">
        <v>342</v>
      </c>
      <c r="G101" s="7" t="s">
        <v>2584</v>
      </c>
      <c r="H101" s="85" t="s">
        <v>2886</v>
      </c>
      <c r="I101" s="85" t="s">
        <v>2795</v>
      </c>
      <c r="J101" s="85" t="s">
        <v>2887</v>
      </c>
      <c r="K101" s="85" t="s">
        <v>16</v>
      </c>
      <c r="L101" s="85">
        <v>2</v>
      </c>
      <c r="M101" s="20">
        <f>Table9[[#This Row],[Rate
(Please Select from the list)]]/5</f>
        <v>0.4</v>
      </c>
      <c r="N101" s="73">
        <v>2.21</v>
      </c>
      <c r="O101" s="74">
        <f>Table9[[#This Row],[Score %]]*Table9[[#This Row],[Item Weight
(Please Select from the list)]]</f>
        <v>0.88400000000000001</v>
      </c>
      <c r="P101" s="80">
        <v>3</v>
      </c>
      <c r="Q101" t="s">
        <v>46</v>
      </c>
      <c r="R101" t="s">
        <v>3874</v>
      </c>
      <c r="S101" t="s">
        <v>29</v>
      </c>
      <c r="T101" s="86">
        <v>45421</v>
      </c>
      <c r="U101" t="s">
        <v>14</v>
      </c>
      <c r="V101" t="s">
        <v>3834</v>
      </c>
      <c r="W101" s="88" t="s">
        <v>4034</v>
      </c>
    </row>
    <row r="102" spans="1:23" ht="14.4">
      <c r="A102" s="7" t="s">
        <v>33</v>
      </c>
      <c r="B102" t="s">
        <v>18</v>
      </c>
      <c r="C102" t="s">
        <v>19</v>
      </c>
      <c r="D102" s="7" t="s">
        <v>343</v>
      </c>
      <c r="E102" s="7" t="s">
        <v>344</v>
      </c>
      <c r="F102" s="7" t="s">
        <v>345</v>
      </c>
      <c r="G102" s="7" t="s">
        <v>2584</v>
      </c>
      <c r="H102" s="85" t="s">
        <v>2888</v>
      </c>
      <c r="I102" s="85" t="s">
        <v>2795</v>
      </c>
      <c r="J102" s="85" t="s">
        <v>2889</v>
      </c>
      <c r="K102" s="85" t="s">
        <v>16</v>
      </c>
      <c r="L102" s="85">
        <v>2</v>
      </c>
      <c r="M102" s="20">
        <f>Table9[[#This Row],[Rate
(Please Select from the list)]]/5</f>
        <v>0.4</v>
      </c>
      <c r="N102" s="73">
        <v>2.21</v>
      </c>
      <c r="O102" s="74">
        <f>Table9[[#This Row],[Score %]]*Table9[[#This Row],[Item Weight
(Please Select from the list)]]</f>
        <v>0.88400000000000001</v>
      </c>
      <c r="P102" s="80">
        <v>3</v>
      </c>
      <c r="Q102" t="s">
        <v>15</v>
      </c>
      <c r="R102" t="s">
        <v>3875</v>
      </c>
      <c r="S102" t="s">
        <v>29</v>
      </c>
      <c r="T102" s="86">
        <v>45421</v>
      </c>
      <c r="U102" t="s">
        <v>30</v>
      </c>
      <c r="V102" t="s">
        <v>3847</v>
      </c>
      <c r="W102" s="88" t="s">
        <v>4034</v>
      </c>
    </row>
    <row r="103" spans="1:23" ht="14.4">
      <c r="A103" s="7" t="s">
        <v>33</v>
      </c>
      <c r="B103" t="s">
        <v>18</v>
      </c>
      <c r="C103" t="s">
        <v>19</v>
      </c>
      <c r="D103" s="7" t="s">
        <v>346</v>
      </c>
      <c r="E103" s="7" t="s">
        <v>347</v>
      </c>
      <c r="F103" s="7" t="s">
        <v>348</v>
      </c>
      <c r="G103" s="7" t="s">
        <v>2584</v>
      </c>
      <c r="H103" s="85" t="s">
        <v>2890</v>
      </c>
      <c r="I103" s="85" t="s">
        <v>2739</v>
      </c>
      <c r="J103" s="85" t="s">
        <v>2891</v>
      </c>
      <c r="K103" s="85" t="s">
        <v>16</v>
      </c>
      <c r="L103" s="85">
        <v>3</v>
      </c>
      <c r="M103" s="20">
        <f>Table9[[#This Row],[Rate
(Please Select from the list)]]/5</f>
        <v>0.6</v>
      </c>
      <c r="N103" s="73">
        <v>2.21</v>
      </c>
      <c r="O103" s="74">
        <f>Table9[[#This Row],[Score %]]*Table9[[#This Row],[Item Weight
(Please Select from the list)]]</f>
        <v>1.3259999999999998</v>
      </c>
      <c r="P103" s="80">
        <v>3</v>
      </c>
      <c r="Q103" t="s">
        <v>59</v>
      </c>
      <c r="R103"/>
      <c r="S103" t="s">
        <v>43</v>
      </c>
      <c r="T103"/>
      <c r="U103" t="s">
        <v>58</v>
      </c>
      <c r="V103" t="s">
        <v>3817</v>
      </c>
      <c r="W103" s="88" t="s">
        <v>4034</v>
      </c>
    </row>
    <row r="104" spans="1:23" ht="14.4">
      <c r="A104" s="7" t="s">
        <v>33</v>
      </c>
      <c r="B104" t="s">
        <v>18</v>
      </c>
      <c r="C104" t="s">
        <v>19</v>
      </c>
      <c r="D104" s="7" t="s">
        <v>349</v>
      </c>
      <c r="E104" s="7" t="s">
        <v>350</v>
      </c>
      <c r="F104" s="7" t="s">
        <v>351</v>
      </c>
      <c r="G104" s="7" t="s">
        <v>2584</v>
      </c>
      <c r="H104" s="85" t="s">
        <v>2892</v>
      </c>
      <c r="I104" s="85" t="s">
        <v>2739</v>
      </c>
      <c r="J104" s="85" t="s">
        <v>2893</v>
      </c>
      <c r="K104" s="85" t="s">
        <v>16</v>
      </c>
      <c r="L104" s="85">
        <v>2</v>
      </c>
      <c r="M104" s="20">
        <f>Table9[[#This Row],[Rate
(Please Select from the list)]]/5</f>
        <v>0.4</v>
      </c>
      <c r="N104" s="73">
        <v>2.94</v>
      </c>
      <c r="O104" s="74">
        <f>Table9[[#This Row],[Score %]]*Table9[[#This Row],[Item Weight
(Please Select from the list)]]</f>
        <v>1.1759999999999999</v>
      </c>
      <c r="P104" s="80">
        <v>4</v>
      </c>
      <c r="Q104" t="s">
        <v>31</v>
      </c>
      <c r="R104" t="s">
        <v>3876</v>
      </c>
      <c r="S104" t="s">
        <v>13</v>
      </c>
      <c r="T104" t="s">
        <v>3820</v>
      </c>
      <c r="U104" t="s">
        <v>14</v>
      </c>
      <c r="V104" t="s">
        <v>3859</v>
      </c>
      <c r="W104" s="88" t="s">
        <v>4034</v>
      </c>
    </row>
    <row r="105" spans="1:23" ht="14.4">
      <c r="A105" s="7" t="s">
        <v>33</v>
      </c>
      <c r="B105" t="s">
        <v>18</v>
      </c>
      <c r="C105" t="s">
        <v>19</v>
      </c>
      <c r="D105" s="7" t="s">
        <v>352</v>
      </c>
      <c r="E105" s="7" t="s">
        <v>353</v>
      </c>
      <c r="F105" s="7" t="s">
        <v>354</v>
      </c>
      <c r="G105" s="7" t="s">
        <v>2584</v>
      </c>
      <c r="H105" s="85" t="s">
        <v>2894</v>
      </c>
      <c r="I105" s="85" t="s">
        <v>2736</v>
      </c>
      <c r="J105" s="85" t="s">
        <v>2895</v>
      </c>
      <c r="K105" s="85" t="s">
        <v>16</v>
      </c>
      <c r="L105" s="85">
        <v>3</v>
      </c>
      <c r="M105" s="20">
        <f>Table9[[#This Row],[Rate
(Please Select from the list)]]/5</f>
        <v>0.6</v>
      </c>
      <c r="N105" s="73">
        <v>2.94</v>
      </c>
      <c r="O105" s="74">
        <f>Table9[[#This Row],[Score %]]*Table9[[#This Row],[Item Weight
(Please Select from the list)]]</f>
        <v>1.764</v>
      </c>
      <c r="P105" s="80">
        <v>4</v>
      </c>
      <c r="Q105" t="s">
        <v>46</v>
      </c>
      <c r="R105" t="s">
        <v>3877</v>
      </c>
      <c r="S105" t="s">
        <v>43</v>
      </c>
      <c r="T105" t="s">
        <v>3844</v>
      </c>
      <c r="U105" t="s">
        <v>30</v>
      </c>
      <c r="V105" t="s">
        <v>3825</v>
      </c>
      <c r="W105" s="88" t="s">
        <v>4034</v>
      </c>
    </row>
    <row r="106" spans="1:23" ht="14.4">
      <c r="A106" s="7" t="s">
        <v>33</v>
      </c>
      <c r="B106"/>
      <c r="C106" t="s">
        <v>127</v>
      </c>
      <c r="D106" s="7" t="s">
        <v>355</v>
      </c>
      <c r="E106" s="7" t="s">
        <v>356</v>
      </c>
      <c r="F106" s="7" t="s">
        <v>357</v>
      </c>
      <c r="G106" s="7" t="s">
        <v>2584</v>
      </c>
      <c r="H106" s="85" t="s">
        <v>2896</v>
      </c>
      <c r="I106" s="85" t="s">
        <v>2754</v>
      </c>
      <c r="J106" s="85"/>
      <c r="K106" s="85" t="s">
        <v>47</v>
      </c>
      <c r="L106" s="85">
        <v>4</v>
      </c>
      <c r="M106" s="20">
        <f>Table9[[#This Row],[Rate
(Please Select from the list)]]/5</f>
        <v>0.8</v>
      </c>
      <c r="N106" s="73">
        <v>2.94</v>
      </c>
      <c r="O106" s="74">
        <f>Table9[[#This Row],[Score %]]*Table9[[#This Row],[Item Weight
(Please Select from the list)]]</f>
        <v>2.3519999999999999</v>
      </c>
      <c r="P106" s="80">
        <v>4</v>
      </c>
      <c r="Q106" t="s">
        <v>15</v>
      </c>
      <c r="R106"/>
      <c r="S106" t="s">
        <v>57</v>
      </c>
      <c r="T106"/>
      <c r="U106" t="s">
        <v>44</v>
      </c>
      <c r="V106" t="s">
        <v>3812</v>
      </c>
      <c r="W106" s="88" t="s">
        <v>4034</v>
      </c>
    </row>
    <row r="107" spans="1:23" ht="14.4">
      <c r="A107" s="7" t="s">
        <v>48</v>
      </c>
      <c r="B107" t="s">
        <v>2466</v>
      </c>
      <c r="C107" t="s">
        <v>2467</v>
      </c>
      <c r="D107" s="7" t="s">
        <v>358</v>
      </c>
      <c r="E107" s="7" t="s">
        <v>359</v>
      </c>
      <c r="F107" s="7" t="s">
        <v>360</v>
      </c>
      <c r="G107" s="7" t="s">
        <v>2584</v>
      </c>
      <c r="H107" s="85" t="s">
        <v>2897</v>
      </c>
      <c r="I107" s="85" t="s">
        <v>2795</v>
      </c>
      <c r="J107" s="85"/>
      <c r="K107" s="85" t="s">
        <v>47</v>
      </c>
      <c r="L107" s="85">
        <v>4</v>
      </c>
      <c r="M107" s="20">
        <f>Table9[[#This Row],[Rate
(Please Select from the list)]]/5</f>
        <v>0.8</v>
      </c>
      <c r="N107" s="73">
        <v>3.25</v>
      </c>
      <c r="O107" s="74">
        <f>Table9[[#This Row],[Score %]]*Table9[[#This Row],[Item Weight
(Please Select from the list)]]</f>
        <v>2.6</v>
      </c>
      <c r="P107" s="80">
        <v>4</v>
      </c>
      <c r="Q107" t="s">
        <v>46</v>
      </c>
      <c r="R107"/>
      <c r="S107" t="s">
        <v>43</v>
      </c>
      <c r="T107"/>
      <c r="U107" t="s">
        <v>58</v>
      </c>
      <c r="V107" t="s">
        <v>3812</v>
      </c>
      <c r="W107" s="88" t="s">
        <v>4034</v>
      </c>
    </row>
    <row r="108" spans="1:23" ht="14.4">
      <c r="A108" s="7" t="s">
        <v>48</v>
      </c>
      <c r="B108" t="s">
        <v>2466</v>
      </c>
      <c r="C108" t="s">
        <v>2467</v>
      </c>
      <c r="D108" s="7" t="s">
        <v>361</v>
      </c>
      <c r="E108" s="7" t="s">
        <v>362</v>
      </c>
      <c r="F108" s="7" t="s">
        <v>363</v>
      </c>
      <c r="G108" s="7" t="s">
        <v>2584</v>
      </c>
      <c r="H108" s="85" t="s">
        <v>2898</v>
      </c>
      <c r="I108" s="85" t="s">
        <v>2748</v>
      </c>
      <c r="J108" s="85"/>
      <c r="K108" s="85" t="s">
        <v>16</v>
      </c>
      <c r="L108" s="85">
        <v>4</v>
      </c>
      <c r="M108" s="20">
        <f>Table9[[#This Row],[Rate
(Please Select from the list)]]/5</f>
        <v>0.8</v>
      </c>
      <c r="N108" s="73">
        <v>2.44</v>
      </c>
      <c r="O108" s="74">
        <f>Table9[[#This Row],[Score %]]*Table9[[#This Row],[Item Weight
(Please Select from the list)]]</f>
        <v>1.952</v>
      </c>
      <c r="P108" s="80">
        <v>3</v>
      </c>
      <c r="Q108" t="s">
        <v>46</v>
      </c>
      <c r="R108"/>
      <c r="S108" t="s">
        <v>57</v>
      </c>
      <c r="T108"/>
      <c r="U108" t="s">
        <v>58</v>
      </c>
      <c r="V108" t="s">
        <v>3812</v>
      </c>
      <c r="W108" s="88" t="s">
        <v>4034</v>
      </c>
    </row>
    <row r="109" spans="1:23" ht="14.4">
      <c r="A109" s="7" t="s">
        <v>48</v>
      </c>
      <c r="B109" t="s">
        <v>2466</v>
      </c>
      <c r="C109" t="s">
        <v>2467</v>
      </c>
      <c r="D109" s="7" t="s">
        <v>364</v>
      </c>
      <c r="E109" s="7" t="s">
        <v>365</v>
      </c>
      <c r="F109" s="7" t="s">
        <v>366</v>
      </c>
      <c r="G109" s="7" t="s">
        <v>2584</v>
      </c>
      <c r="H109" s="85" t="s">
        <v>2899</v>
      </c>
      <c r="I109" s="85" t="s">
        <v>2718</v>
      </c>
      <c r="J109" s="85"/>
      <c r="K109" s="85" t="s">
        <v>47</v>
      </c>
      <c r="L109" s="85">
        <v>4</v>
      </c>
      <c r="M109" s="20">
        <f>Table9[[#This Row],[Rate
(Please Select from the list)]]/5</f>
        <v>0.8</v>
      </c>
      <c r="N109" s="73">
        <v>3.25</v>
      </c>
      <c r="O109" s="74">
        <f>Table9[[#This Row],[Score %]]*Table9[[#This Row],[Item Weight
(Please Select from the list)]]</f>
        <v>2.6</v>
      </c>
      <c r="P109" s="80">
        <v>4</v>
      </c>
      <c r="Q109" t="s">
        <v>15</v>
      </c>
      <c r="R109"/>
      <c r="S109" t="s">
        <v>43</v>
      </c>
      <c r="T109"/>
      <c r="U109" t="s">
        <v>44</v>
      </c>
      <c r="V109" t="s">
        <v>3812</v>
      </c>
      <c r="W109" s="88" t="s">
        <v>4034</v>
      </c>
    </row>
    <row r="110" spans="1:23" ht="14.4">
      <c r="A110" s="7" t="s">
        <v>48</v>
      </c>
      <c r="B110" t="s">
        <v>2466</v>
      </c>
      <c r="C110" t="s">
        <v>2467</v>
      </c>
      <c r="D110" s="7" t="s">
        <v>367</v>
      </c>
      <c r="E110" s="7" t="s">
        <v>368</v>
      </c>
      <c r="F110" s="7" t="s">
        <v>369</v>
      </c>
      <c r="G110" s="7" t="s">
        <v>2584</v>
      </c>
      <c r="H110" s="85" t="s">
        <v>2900</v>
      </c>
      <c r="I110" s="85" t="s">
        <v>2736</v>
      </c>
      <c r="J110" s="85"/>
      <c r="K110" s="85" t="s">
        <v>47</v>
      </c>
      <c r="L110" s="85">
        <v>4</v>
      </c>
      <c r="M110" s="20">
        <f>Table9[[#This Row],[Rate
(Please Select from the list)]]/5</f>
        <v>0.8</v>
      </c>
      <c r="N110" s="73">
        <v>3.25</v>
      </c>
      <c r="O110" s="74">
        <f>Table9[[#This Row],[Score %]]*Table9[[#This Row],[Item Weight
(Please Select from the list)]]</f>
        <v>2.6</v>
      </c>
      <c r="P110" s="80">
        <v>4</v>
      </c>
      <c r="Q110" t="s">
        <v>15</v>
      </c>
      <c r="R110"/>
      <c r="S110" t="s">
        <v>43</v>
      </c>
      <c r="T110"/>
      <c r="U110" t="s">
        <v>58</v>
      </c>
      <c r="V110" t="s">
        <v>3812</v>
      </c>
      <c r="W110" s="88" t="s">
        <v>4034</v>
      </c>
    </row>
    <row r="111" spans="1:23" ht="14.4">
      <c r="A111" s="7" t="s">
        <v>48</v>
      </c>
      <c r="B111" t="s">
        <v>2466</v>
      </c>
      <c r="C111" t="s">
        <v>2467</v>
      </c>
      <c r="D111" s="7" t="s">
        <v>370</v>
      </c>
      <c r="E111" s="7" t="s">
        <v>371</v>
      </c>
      <c r="F111" s="7" t="s">
        <v>372</v>
      </c>
      <c r="G111" s="7" t="s">
        <v>2584</v>
      </c>
      <c r="H111" s="85" t="s">
        <v>2901</v>
      </c>
      <c r="I111" s="85" t="s">
        <v>2725</v>
      </c>
      <c r="J111" s="85"/>
      <c r="K111" s="85" t="s">
        <v>16</v>
      </c>
      <c r="L111" s="85">
        <v>4</v>
      </c>
      <c r="M111" s="20">
        <f>Table9[[#This Row],[Rate
(Please Select from the list)]]/5</f>
        <v>0.8</v>
      </c>
      <c r="N111" s="73">
        <v>3.25</v>
      </c>
      <c r="O111" s="74">
        <f>Table9[[#This Row],[Score %]]*Table9[[#This Row],[Item Weight
(Please Select from the list)]]</f>
        <v>2.6</v>
      </c>
      <c r="P111" s="80">
        <v>4</v>
      </c>
      <c r="Q111" t="s">
        <v>46</v>
      </c>
      <c r="R111"/>
      <c r="S111" t="s">
        <v>57</v>
      </c>
      <c r="T111"/>
      <c r="U111" t="s">
        <v>44</v>
      </c>
      <c r="V111" t="s">
        <v>3812</v>
      </c>
      <c r="W111" s="88" t="s">
        <v>4034</v>
      </c>
    </row>
    <row r="112" spans="1:23" ht="14.4">
      <c r="A112" s="7" t="s">
        <v>48</v>
      </c>
      <c r="B112" t="s">
        <v>2466</v>
      </c>
      <c r="C112" t="s">
        <v>2467</v>
      </c>
      <c r="D112" s="7" t="s">
        <v>373</v>
      </c>
      <c r="E112" s="7" t="s">
        <v>374</v>
      </c>
      <c r="F112" s="7" t="s">
        <v>375</v>
      </c>
      <c r="G112" s="7" t="s">
        <v>2584</v>
      </c>
      <c r="H112" s="85" t="s">
        <v>2902</v>
      </c>
      <c r="I112" s="85" t="s">
        <v>2748</v>
      </c>
      <c r="J112" s="85" t="s">
        <v>2903</v>
      </c>
      <c r="K112" s="85" t="s">
        <v>16</v>
      </c>
      <c r="L112" s="85">
        <v>2</v>
      </c>
      <c r="M112" s="20">
        <f>Table9[[#This Row],[Rate
(Please Select from the list)]]/5</f>
        <v>0.4</v>
      </c>
      <c r="N112" s="73">
        <v>2.44</v>
      </c>
      <c r="O112" s="74">
        <f>Table9[[#This Row],[Score %]]*Table9[[#This Row],[Item Weight
(Please Select from the list)]]</f>
        <v>0.97599999999999998</v>
      </c>
      <c r="P112" s="80">
        <v>3</v>
      </c>
      <c r="Q112" t="s">
        <v>46</v>
      </c>
      <c r="R112" t="s">
        <v>3878</v>
      </c>
      <c r="S112" t="s">
        <v>29</v>
      </c>
      <c r="T112" s="86">
        <v>45421</v>
      </c>
      <c r="U112" t="s">
        <v>30</v>
      </c>
      <c r="V112" t="s">
        <v>3847</v>
      </c>
      <c r="W112" s="88" t="s">
        <v>4034</v>
      </c>
    </row>
    <row r="113" spans="1:23" ht="14.4">
      <c r="A113" s="7" t="s">
        <v>48</v>
      </c>
      <c r="B113" t="s">
        <v>2466</v>
      </c>
      <c r="C113" t="s">
        <v>2467</v>
      </c>
      <c r="D113" s="7" t="s">
        <v>376</v>
      </c>
      <c r="E113" s="7" t="s">
        <v>377</v>
      </c>
      <c r="F113" s="7" t="s">
        <v>378</v>
      </c>
      <c r="G113" s="7" t="s">
        <v>2584</v>
      </c>
      <c r="H113" s="85" t="s">
        <v>2904</v>
      </c>
      <c r="I113" s="85" t="s">
        <v>2725</v>
      </c>
      <c r="J113" s="85" t="s">
        <v>2905</v>
      </c>
      <c r="K113" s="85" t="s">
        <v>16</v>
      </c>
      <c r="L113" s="85">
        <v>2</v>
      </c>
      <c r="M113" s="20">
        <f>Table9[[#This Row],[Rate
(Please Select from the list)]]/5</f>
        <v>0.4</v>
      </c>
      <c r="N113" s="73">
        <v>2.44</v>
      </c>
      <c r="O113" s="74">
        <f>Table9[[#This Row],[Score %]]*Table9[[#This Row],[Item Weight
(Please Select from the list)]]</f>
        <v>0.97599999999999998</v>
      </c>
      <c r="P113" s="80">
        <v>3</v>
      </c>
      <c r="Q113" t="s">
        <v>46</v>
      </c>
      <c r="R113" t="s">
        <v>3879</v>
      </c>
      <c r="S113" t="s">
        <v>13</v>
      </c>
      <c r="T113" t="s">
        <v>3820</v>
      </c>
      <c r="U113" t="s">
        <v>30</v>
      </c>
      <c r="V113" t="s">
        <v>3847</v>
      </c>
      <c r="W113" s="88" t="s">
        <v>4034</v>
      </c>
    </row>
    <row r="114" spans="1:23" ht="14.4">
      <c r="A114" s="7" t="s">
        <v>48</v>
      </c>
      <c r="B114" t="s">
        <v>2466</v>
      </c>
      <c r="C114" t="s">
        <v>2467</v>
      </c>
      <c r="D114" s="7" t="s">
        <v>379</v>
      </c>
      <c r="E114" s="7" t="s">
        <v>380</v>
      </c>
      <c r="F114" s="7" t="s">
        <v>381</v>
      </c>
      <c r="G114" s="7" t="s">
        <v>2584</v>
      </c>
      <c r="H114" s="85" t="s">
        <v>2906</v>
      </c>
      <c r="I114" s="85" t="s">
        <v>2736</v>
      </c>
      <c r="J114" s="85" t="s">
        <v>2907</v>
      </c>
      <c r="K114" s="85" t="s">
        <v>16</v>
      </c>
      <c r="L114" s="85">
        <v>3</v>
      </c>
      <c r="M114" s="20">
        <f>Table9[[#This Row],[Rate
(Please Select from the list)]]/5</f>
        <v>0.6</v>
      </c>
      <c r="N114" s="73">
        <v>4.07</v>
      </c>
      <c r="O114" s="74">
        <f>Table9[[#This Row],[Score %]]*Table9[[#This Row],[Item Weight
(Please Select from the list)]]</f>
        <v>2.4420000000000002</v>
      </c>
      <c r="P114" s="80">
        <v>5</v>
      </c>
      <c r="Q114" t="s">
        <v>46</v>
      </c>
      <c r="R114"/>
      <c r="S114" t="s">
        <v>43</v>
      </c>
      <c r="T114"/>
      <c r="U114" t="s">
        <v>58</v>
      </c>
      <c r="V114" t="s">
        <v>3813</v>
      </c>
      <c r="W114" s="88" t="s">
        <v>4034</v>
      </c>
    </row>
    <row r="115" spans="1:23" ht="14.4">
      <c r="A115" s="7" t="s">
        <v>48</v>
      </c>
      <c r="B115" t="s">
        <v>2466</v>
      </c>
      <c r="C115" t="s">
        <v>2467</v>
      </c>
      <c r="D115" s="7" t="s">
        <v>382</v>
      </c>
      <c r="E115" s="7" t="s">
        <v>383</v>
      </c>
      <c r="F115" s="7" t="s">
        <v>384</v>
      </c>
      <c r="G115" s="7" t="s">
        <v>2584</v>
      </c>
      <c r="H115" s="85" t="s">
        <v>2908</v>
      </c>
      <c r="I115" s="85" t="s">
        <v>2739</v>
      </c>
      <c r="J115" s="85"/>
      <c r="K115" s="85" t="s">
        <v>47</v>
      </c>
      <c r="L115" s="85">
        <v>4</v>
      </c>
      <c r="M115" s="20">
        <f>Table9[[#This Row],[Rate
(Please Select from the list)]]/5</f>
        <v>0.8</v>
      </c>
      <c r="N115" s="73">
        <v>4.07</v>
      </c>
      <c r="O115" s="74">
        <f>Table9[[#This Row],[Score %]]*Table9[[#This Row],[Item Weight
(Please Select from the list)]]</f>
        <v>3.2560000000000002</v>
      </c>
      <c r="P115" s="80">
        <v>5</v>
      </c>
      <c r="Q115" t="s">
        <v>15</v>
      </c>
      <c r="R115"/>
      <c r="S115" t="s">
        <v>57</v>
      </c>
      <c r="T115"/>
      <c r="U115" t="s">
        <v>44</v>
      </c>
      <c r="V115" t="s">
        <v>3812</v>
      </c>
      <c r="W115" s="88" t="s">
        <v>4034</v>
      </c>
    </row>
    <row r="116" spans="1:23" ht="14.4">
      <c r="A116" s="7" t="s">
        <v>48</v>
      </c>
      <c r="B116" t="s">
        <v>2466</v>
      </c>
      <c r="C116" t="s">
        <v>2467</v>
      </c>
      <c r="D116" s="7" t="s">
        <v>385</v>
      </c>
      <c r="E116" s="7" t="s">
        <v>386</v>
      </c>
      <c r="F116" s="7" t="s">
        <v>387</v>
      </c>
      <c r="G116" s="7" t="s">
        <v>2584</v>
      </c>
      <c r="H116" s="85" t="s">
        <v>2909</v>
      </c>
      <c r="I116" s="85" t="s">
        <v>2731</v>
      </c>
      <c r="J116" s="85"/>
      <c r="K116" s="85" t="s">
        <v>855</v>
      </c>
      <c r="L116" s="85">
        <v>4</v>
      </c>
      <c r="M116" s="20">
        <f>Table9[[#This Row],[Rate
(Please Select from the list)]]/5</f>
        <v>0.8</v>
      </c>
      <c r="N116" s="73">
        <v>2.44</v>
      </c>
      <c r="O116" s="74">
        <f>Table9[[#This Row],[Score %]]*Table9[[#This Row],[Item Weight
(Please Select from the list)]]</f>
        <v>1.952</v>
      </c>
      <c r="P116" s="80">
        <v>3</v>
      </c>
      <c r="Q116" t="s">
        <v>15</v>
      </c>
      <c r="R116"/>
      <c r="S116" t="s">
        <v>57</v>
      </c>
      <c r="T116"/>
      <c r="U116" t="s">
        <v>44</v>
      </c>
      <c r="V116" t="s">
        <v>3812</v>
      </c>
      <c r="W116" s="88" t="s">
        <v>4034</v>
      </c>
    </row>
    <row r="117" spans="1:23" ht="14.4">
      <c r="A117" s="7" t="s">
        <v>48</v>
      </c>
      <c r="B117"/>
      <c r="C117" t="s">
        <v>1551</v>
      </c>
      <c r="D117" s="7" t="s">
        <v>388</v>
      </c>
      <c r="E117" s="7" t="s">
        <v>389</v>
      </c>
      <c r="F117" s="7" t="s">
        <v>390</v>
      </c>
      <c r="G117" s="7" t="s">
        <v>2584</v>
      </c>
      <c r="H117" s="85" t="s">
        <v>2910</v>
      </c>
      <c r="I117" s="85" t="s">
        <v>2731</v>
      </c>
      <c r="J117" s="85" t="s">
        <v>2911</v>
      </c>
      <c r="K117" s="85" t="s">
        <v>16</v>
      </c>
      <c r="L117" s="85">
        <v>2</v>
      </c>
      <c r="M117" s="20">
        <f>Table9[[#This Row],[Rate
(Please Select from the list)]]/5</f>
        <v>0.4</v>
      </c>
      <c r="N117" s="73">
        <v>2.44</v>
      </c>
      <c r="O117" s="74">
        <f>Table9[[#This Row],[Score %]]*Table9[[#This Row],[Item Weight
(Please Select from the list)]]</f>
        <v>0.97599999999999998</v>
      </c>
      <c r="P117" s="80">
        <v>3</v>
      </c>
      <c r="Q117" t="s">
        <v>31</v>
      </c>
      <c r="R117" t="s">
        <v>3880</v>
      </c>
      <c r="S117" t="s">
        <v>29</v>
      </c>
      <c r="T117" s="86">
        <v>45421</v>
      </c>
      <c r="U117" t="s">
        <v>30</v>
      </c>
      <c r="V117" t="s">
        <v>3847</v>
      </c>
      <c r="W117" s="88" t="s">
        <v>4034</v>
      </c>
    </row>
    <row r="118" spans="1:23" ht="14.4">
      <c r="A118" s="7" t="s">
        <v>48</v>
      </c>
      <c r="B118" t="s">
        <v>2466</v>
      </c>
      <c r="C118" t="s">
        <v>2467</v>
      </c>
      <c r="D118" s="7" t="s">
        <v>391</v>
      </c>
      <c r="E118" s="7" t="s">
        <v>392</v>
      </c>
      <c r="F118" s="7" t="s">
        <v>393</v>
      </c>
      <c r="G118" s="7" t="s">
        <v>2584</v>
      </c>
      <c r="H118" s="85" t="s">
        <v>2912</v>
      </c>
      <c r="I118" s="85" t="s">
        <v>2748</v>
      </c>
      <c r="J118" s="85" t="s">
        <v>2913</v>
      </c>
      <c r="K118" s="85" t="s">
        <v>16</v>
      </c>
      <c r="L118" s="85">
        <v>2</v>
      </c>
      <c r="M118" s="20">
        <f>Table9[[#This Row],[Rate
(Please Select from the list)]]/5</f>
        <v>0.4</v>
      </c>
      <c r="N118" s="73">
        <v>2.44</v>
      </c>
      <c r="O118" s="74">
        <f>Table9[[#This Row],[Score %]]*Table9[[#This Row],[Item Weight
(Please Select from the list)]]</f>
        <v>0.97599999999999998</v>
      </c>
      <c r="P118" s="80">
        <v>3</v>
      </c>
      <c r="Q118" t="s">
        <v>15</v>
      </c>
      <c r="R118" t="s">
        <v>3881</v>
      </c>
      <c r="S118" t="s">
        <v>29</v>
      </c>
      <c r="T118" s="86">
        <v>45421</v>
      </c>
      <c r="U118" t="s">
        <v>30</v>
      </c>
      <c r="V118" t="s">
        <v>3831</v>
      </c>
      <c r="W118" s="88" t="s">
        <v>4034</v>
      </c>
    </row>
    <row r="119" spans="1:23" ht="14.4">
      <c r="A119" s="7" t="s">
        <v>48</v>
      </c>
      <c r="B119" t="s">
        <v>35</v>
      </c>
      <c r="C119" t="s">
        <v>1552</v>
      </c>
      <c r="D119" s="7" t="s">
        <v>394</v>
      </c>
      <c r="E119" s="7" t="s">
        <v>395</v>
      </c>
      <c r="F119" s="7" t="s">
        <v>396</v>
      </c>
      <c r="G119" s="7" t="s">
        <v>2584</v>
      </c>
      <c r="H119" s="85" t="s">
        <v>2914</v>
      </c>
      <c r="I119" s="85" t="s">
        <v>2731</v>
      </c>
      <c r="J119" s="85"/>
      <c r="K119" s="85" t="s">
        <v>47</v>
      </c>
      <c r="L119" s="85">
        <v>4</v>
      </c>
      <c r="M119" s="20">
        <f>Table9[[#This Row],[Rate
(Please Select from the list)]]/5</f>
        <v>0.8</v>
      </c>
      <c r="N119" s="73">
        <v>2.44</v>
      </c>
      <c r="O119" s="74">
        <f>Table9[[#This Row],[Score %]]*Table9[[#This Row],[Item Weight
(Please Select from the list)]]</f>
        <v>1.952</v>
      </c>
      <c r="P119" s="80">
        <v>3</v>
      </c>
      <c r="Q119" t="s">
        <v>15</v>
      </c>
      <c r="R119"/>
      <c r="S119" t="s">
        <v>43</v>
      </c>
      <c r="T119"/>
      <c r="U119" t="s">
        <v>58</v>
      </c>
      <c r="V119" t="s">
        <v>3812</v>
      </c>
      <c r="W119" s="88" t="s">
        <v>4034</v>
      </c>
    </row>
    <row r="120" spans="1:23" ht="14.4">
      <c r="A120" s="7" t="s">
        <v>48</v>
      </c>
      <c r="B120"/>
      <c r="C120" t="s">
        <v>99</v>
      </c>
      <c r="D120" s="7" t="s">
        <v>397</v>
      </c>
      <c r="E120" s="7" t="s">
        <v>398</v>
      </c>
      <c r="F120" s="7" t="s">
        <v>399</v>
      </c>
      <c r="G120" s="7" t="s">
        <v>2584</v>
      </c>
      <c r="H120" s="85" t="s">
        <v>2915</v>
      </c>
      <c r="I120" s="85" t="s">
        <v>2728</v>
      </c>
      <c r="J120" s="85" t="s">
        <v>2916</v>
      </c>
      <c r="K120" s="85" t="s">
        <v>16</v>
      </c>
      <c r="L120" s="85">
        <v>3</v>
      </c>
      <c r="M120" s="20">
        <f>Table9[[#This Row],[Rate
(Please Select from the list)]]/5</f>
        <v>0.6</v>
      </c>
      <c r="N120" s="73">
        <v>4.07</v>
      </c>
      <c r="O120" s="74">
        <f>Table9[[#This Row],[Score %]]*Table9[[#This Row],[Item Weight
(Please Select from the list)]]</f>
        <v>2.4420000000000002</v>
      </c>
      <c r="P120" s="80">
        <v>5</v>
      </c>
      <c r="Q120" t="s">
        <v>15</v>
      </c>
      <c r="R120"/>
      <c r="S120" t="s">
        <v>43</v>
      </c>
      <c r="T120"/>
      <c r="U120" t="s">
        <v>44</v>
      </c>
      <c r="V120" t="s">
        <v>3815</v>
      </c>
      <c r="W120" s="88" t="s">
        <v>4034</v>
      </c>
    </row>
    <row r="121" spans="1:23" ht="14.4">
      <c r="A121" s="7" t="s">
        <v>48</v>
      </c>
      <c r="B121" t="s">
        <v>1525</v>
      </c>
      <c r="C121" t="s">
        <v>36</v>
      </c>
      <c r="D121" s="7" t="s">
        <v>400</v>
      </c>
      <c r="E121" s="7" t="s">
        <v>401</v>
      </c>
      <c r="F121" s="7" t="s">
        <v>274</v>
      </c>
      <c r="G121" s="7" t="s">
        <v>2584</v>
      </c>
      <c r="H121" s="85" t="s">
        <v>2917</v>
      </c>
      <c r="I121" s="85" t="s">
        <v>2739</v>
      </c>
      <c r="J121" s="85" t="s">
        <v>2918</v>
      </c>
      <c r="K121" s="85" t="s">
        <v>16</v>
      </c>
      <c r="L121" s="85">
        <v>2</v>
      </c>
      <c r="M121" s="20">
        <f>Table9[[#This Row],[Rate
(Please Select from the list)]]/5</f>
        <v>0.4</v>
      </c>
      <c r="N121" s="73">
        <v>3.25</v>
      </c>
      <c r="O121" s="74">
        <f>Table9[[#This Row],[Score %]]*Table9[[#This Row],[Item Weight
(Please Select from the list)]]</f>
        <v>1.3</v>
      </c>
      <c r="P121" s="80">
        <v>4</v>
      </c>
      <c r="Q121" t="s">
        <v>46</v>
      </c>
      <c r="R121" t="s">
        <v>3882</v>
      </c>
      <c r="S121" t="s">
        <v>29</v>
      </c>
      <c r="T121" s="86">
        <v>45421</v>
      </c>
      <c r="U121" t="s">
        <v>30</v>
      </c>
      <c r="V121" t="s">
        <v>3831</v>
      </c>
      <c r="W121" s="88" t="s">
        <v>4034</v>
      </c>
    </row>
    <row r="122" spans="1:23" ht="14.4">
      <c r="A122" s="7" t="s">
        <v>48</v>
      </c>
      <c r="B122" t="s">
        <v>2466</v>
      </c>
      <c r="C122" t="s">
        <v>2467</v>
      </c>
      <c r="D122" s="7" t="s">
        <v>402</v>
      </c>
      <c r="E122" s="7" t="s">
        <v>403</v>
      </c>
      <c r="F122" s="7" t="s">
        <v>404</v>
      </c>
      <c r="G122" s="7" t="s">
        <v>2584</v>
      </c>
      <c r="H122" s="85" t="s">
        <v>2919</v>
      </c>
      <c r="I122" s="85" t="s">
        <v>2739</v>
      </c>
      <c r="J122" s="85" t="s">
        <v>2920</v>
      </c>
      <c r="K122" s="85" t="s">
        <v>16</v>
      </c>
      <c r="L122" s="85">
        <v>3</v>
      </c>
      <c r="M122" s="20">
        <f>Table9[[#This Row],[Rate
(Please Select from the list)]]/5</f>
        <v>0.6</v>
      </c>
      <c r="N122" s="73">
        <v>2.44</v>
      </c>
      <c r="O122" s="74">
        <f>Table9[[#This Row],[Score %]]*Table9[[#This Row],[Item Weight
(Please Select from the list)]]</f>
        <v>1.464</v>
      </c>
      <c r="P122" s="80">
        <v>3</v>
      </c>
      <c r="Q122" t="s">
        <v>46</v>
      </c>
      <c r="R122" t="s">
        <v>3883</v>
      </c>
      <c r="S122" t="s">
        <v>29</v>
      </c>
      <c r="T122" s="86">
        <v>45421</v>
      </c>
      <c r="U122" t="s">
        <v>14</v>
      </c>
      <c r="V122" t="s">
        <v>3839</v>
      </c>
      <c r="W122" s="88" t="s">
        <v>4034</v>
      </c>
    </row>
    <row r="123" spans="1:23" ht="14.4">
      <c r="A123" s="7" t="s">
        <v>48</v>
      </c>
      <c r="B123" t="s">
        <v>111</v>
      </c>
      <c r="C123" t="s">
        <v>117</v>
      </c>
      <c r="D123" s="7" t="s">
        <v>405</v>
      </c>
      <c r="E123" s="7" t="s">
        <v>406</v>
      </c>
      <c r="F123" s="7" t="s">
        <v>407</v>
      </c>
      <c r="G123" s="7" t="s">
        <v>2584</v>
      </c>
      <c r="H123" s="85" t="s">
        <v>2921</v>
      </c>
      <c r="I123" s="85" t="s">
        <v>2739</v>
      </c>
      <c r="J123" s="85" t="s">
        <v>2922</v>
      </c>
      <c r="K123" s="85" t="s">
        <v>16</v>
      </c>
      <c r="L123" s="85">
        <v>3</v>
      </c>
      <c r="M123" s="20">
        <f>Table9[[#This Row],[Rate
(Please Select from the list)]]/5</f>
        <v>0.6</v>
      </c>
      <c r="N123" s="73">
        <v>2.44</v>
      </c>
      <c r="O123" s="74">
        <f>Table9[[#This Row],[Score %]]*Table9[[#This Row],[Item Weight
(Please Select from the list)]]</f>
        <v>1.464</v>
      </c>
      <c r="P123" s="80">
        <v>3</v>
      </c>
      <c r="Q123" t="s">
        <v>15</v>
      </c>
      <c r="R123"/>
      <c r="S123" t="s">
        <v>43</v>
      </c>
      <c r="T123"/>
      <c r="U123" t="s">
        <v>44</v>
      </c>
      <c r="V123" t="s">
        <v>3825</v>
      </c>
      <c r="W123" s="88" t="s">
        <v>4034</v>
      </c>
    </row>
    <row r="124" spans="1:23" ht="14.4">
      <c r="A124" s="7" t="s">
        <v>48</v>
      </c>
      <c r="B124" t="s">
        <v>2466</v>
      </c>
      <c r="C124" t="s">
        <v>2467</v>
      </c>
      <c r="D124" s="7" t="s">
        <v>408</v>
      </c>
      <c r="E124" s="7" t="s">
        <v>409</v>
      </c>
      <c r="F124" s="7" t="s">
        <v>410</v>
      </c>
      <c r="G124" s="7" t="s">
        <v>2584</v>
      </c>
      <c r="H124" s="85" t="s">
        <v>2923</v>
      </c>
      <c r="I124" s="85" t="s">
        <v>2725</v>
      </c>
      <c r="J124" s="85" t="s">
        <v>2924</v>
      </c>
      <c r="K124" s="85" t="s">
        <v>16</v>
      </c>
      <c r="L124" s="85">
        <v>2</v>
      </c>
      <c r="M124" s="20">
        <f>Table9[[#This Row],[Rate
(Please Select from the list)]]/5</f>
        <v>0.4</v>
      </c>
      <c r="N124" s="73">
        <v>2.44</v>
      </c>
      <c r="O124" s="74">
        <f>Table9[[#This Row],[Score %]]*Table9[[#This Row],[Item Weight
(Please Select from the list)]]</f>
        <v>0.97599999999999998</v>
      </c>
      <c r="P124" s="80">
        <v>3</v>
      </c>
      <c r="Q124" t="s">
        <v>15</v>
      </c>
      <c r="R124" t="s">
        <v>3884</v>
      </c>
      <c r="S124" t="s">
        <v>13</v>
      </c>
      <c r="T124" t="s">
        <v>3820</v>
      </c>
      <c r="U124" t="s">
        <v>30</v>
      </c>
      <c r="V124" t="s">
        <v>3859</v>
      </c>
      <c r="W124" s="88" t="s">
        <v>4034</v>
      </c>
    </row>
    <row r="125" spans="1:23" ht="14.4">
      <c r="A125" s="7" t="s">
        <v>48</v>
      </c>
      <c r="B125"/>
      <c r="C125" t="s">
        <v>112</v>
      </c>
      <c r="D125" s="7" t="s">
        <v>411</v>
      </c>
      <c r="E125" s="7" t="s">
        <v>412</v>
      </c>
      <c r="F125" s="7" t="s">
        <v>413</v>
      </c>
      <c r="G125" s="7" t="s">
        <v>2584</v>
      </c>
      <c r="H125" s="85" t="s">
        <v>2925</v>
      </c>
      <c r="I125" s="85" t="s">
        <v>2739</v>
      </c>
      <c r="J125" s="85"/>
      <c r="K125" s="85" t="s">
        <v>47</v>
      </c>
      <c r="L125" s="85">
        <v>4</v>
      </c>
      <c r="M125" s="20">
        <f>Table9[[#This Row],[Rate
(Please Select from the list)]]/5</f>
        <v>0.8</v>
      </c>
      <c r="N125" s="73">
        <v>2.44</v>
      </c>
      <c r="O125" s="74">
        <f>Table9[[#This Row],[Score %]]*Table9[[#This Row],[Item Weight
(Please Select from the list)]]</f>
        <v>1.952</v>
      </c>
      <c r="P125" s="80">
        <v>3</v>
      </c>
      <c r="Q125" t="s">
        <v>15</v>
      </c>
      <c r="R125"/>
      <c r="S125" t="s">
        <v>57</v>
      </c>
      <c r="T125"/>
      <c r="U125" t="s">
        <v>44</v>
      </c>
      <c r="V125" t="s">
        <v>3812</v>
      </c>
      <c r="W125" s="88" t="s">
        <v>4034</v>
      </c>
    </row>
    <row r="126" spans="1:23" ht="14.4">
      <c r="A126" s="7" t="s">
        <v>48</v>
      </c>
      <c r="B126"/>
      <c r="C126" t="s">
        <v>2472</v>
      </c>
      <c r="D126" s="7" t="s">
        <v>414</v>
      </c>
      <c r="E126" s="7" t="s">
        <v>415</v>
      </c>
      <c r="F126" s="7" t="s">
        <v>416</v>
      </c>
      <c r="G126" s="7" t="s">
        <v>2584</v>
      </c>
      <c r="H126" s="85" t="s">
        <v>2926</v>
      </c>
      <c r="I126" s="85" t="s">
        <v>2718</v>
      </c>
      <c r="J126" s="85"/>
      <c r="K126" s="85" t="s">
        <v>855</v>
      </c>
      <c r="L126" s="85">
        <v>4</v>
      </c>
      <c r="M126" s="20">
        <f>Table9[[#This Row],[Rate
(Please Select from the list)]]/5</f>
        <v>0.8</v>
      </c>
      <c r="N126" s="73">
        <v>2.44</v>
      </c>
      <c r="O126" s="74">
        <f>Table9[[#This Row],[Score %]]*Table9[[#This Row],[Item Weight
(Please Select from the list)]]</f>
        <v>1.952</v>
      </c>
      <c r="P126" s="80">
        <v>3</v>
      </c>
      <c r="Q126" t="s">
        <v>59</v>
      </c>
      <c r="R126"/>
      <c r="S126" t="s">
        <v>57</v>
      </c>
      <c r="T126"/>
      <c r="U126" t="s">
        <v>44</v>
      </c>
      <c r="V126" t="s">
        <v>3812</v>
      </c>
      <c r="W126" s="88" t="s">
        <v>4034</v>
      </c>
    </row>
    <row r="127" spans="1:23" ht="14.4">
      <c r="A127" s="7" t="s">
        <v>48</v>
      </c>
      <c r="B127" t="s">
        <v>2466</v>
      </c>
      <c r="C127" t="s">
        <v>2467</v>
      </c>
      <c r="D127" s="7" t="s">
        <v>417</v>
      </c>
      <c r="E127" s="7" t="s">
        <v>418</v>
      </c>
      <c r="F127" s="7" t="s">
        <v>419</v>
      </c>
      <c r="G127" s="7" t="s">
        <v>2584</v>
      </c>
      <c r="H127" s="85" t="s">
        <v>2927</v>
      </c>
      <c r="I127" s="85" t="s">
        <v>2731</v>
      </c>
      <c r="J127" s="85" t="s">
        <v>2928</v>
      </c>
      <c r="K127" s="85" t="s">
        <v>16</v>
      </c>
      <c r="L127" s="85">
        <v>3</v>
      </c>
      <c r="M127" s="20">
        <f>Table9[[#This Row],[Rate
(Please Select from the list)]]/5</f>
        <v>0.6</v>
      </c>
      <c r="N127" s="73">
        <v>2.44</v>
      </c>
      <c r="O127" s="74">
        <f>Table9[[#This Row],[Score %]]*Table9[[#This Row],[Item Weight
(Please Select from the list)]]</f>
        <v>1.464</v>
      </c>
      <c r="P127" s="80">
        <v>3</v>
      </c>
      <c r="Q127" t="s">
        <v>31</v>
      </c>
      <c r="R127" t="s">
        <v>3885</v>
      </c>
      <c r="S127" t="s">
        <v>29</v>
      </c>
      <c r="T127" s="86">
        <v>45421</v>
      </c>
      <c r="U127" t="s">
        <v>30</v>
      </c>
      <c r="V127" t="s">
        <v>3825</v>
      </c>
      <c r="W127" s="88" t="s">
        <v>4034</v>
      </c>
    </row>
    <row r="128" spans="1:23" ht="14.4">
      <c r="A128" s="7" t="s">
        <v>48</v>
      </c>
      <c r="B128" t="s">
        <v>2466</v>
      </c>
      <c r="C128" t="s">
        <v>2467</v>
      </c>
      <c r="D128" s="7" t="s">
        <v>420</v>
      </c>
      <c r="E128" s="7" t="s">
        <v>303</v>
      </c>
      <c r="F128" s="7" t="s">
        <v>421</v>
      </c>
      <c r="G128" s="7" t="s">
        <v>2584</v>
      </c>
      <c r="H128" s="85" t="s">
        <v>2929</v>
      </c>
      <c r="I128" s="85" t="s">
        <v>2748</v>
      </c>
      <c r="J128" s="85"/>
      <c r="K128" s="85" t="s">
        <v>47</v>
      </c>
      <c r="L128" s="85">
        <v>4</v>
      </c>
      <c r="M128" s="20">
        <f>Table9[[#This Row],[Rate
(Please Select from the list)]]/5</f>
        <v>0.8</v>
      </c>
      <c r="N128" s="73">
        <v>2.44</v>
      </c>
      <c r="O128" s="74">
        <f>Table9[[#This Row],[Score %]]*Table9[[#This Row],[Item Weight
(Please Select from the list)]]</f>
        <v>1.952</v>
      </c>
      <c r="P128" s="80">
        <v>3</v>
      </c>
      <c r="Q128" t="s">
        <v>59</v>
      </c>
      <c r="R128"/>
      <c r="S128" t="s">
        <v>57</v>
      </c>
      <c r="T128"/>
      <c r="U128" t="s">
        <v>44</v>
      </c>
      <c r="V128" t="s">
        <v>3812</v>
      </c>
      <c r="W128" s="88" t="s">
        <v>4034</v>
      </c>
    </row>
    <row r="129" spans="1:23" ht="14.4">
      <c r="A129" s="7" t="s">
        <v>48</v>
      </c>
      <c r="B129" t="s">
        <v>93</v>
      </c>
      <c r="C129" t="s">
        <v>1553</v>
      </c>
      <c r="D129" s="7" t="s">
        <v>422</v>
      </c>
      <c r="E129" s="7" t="s">
        <v>423</v>
      </c>
      <c r="F129" s="7" t="s">
        <v>424</v>
      </c>
      <c r="G129" s="7" t="s">
        <v>2584</v>
      </c>
      <c r="H129" s="85" t="s">
        <v>2930</v>
      </c>
      <c r="I129" s="85" t="s">
        <v>2728</v>
      </c>
      <c r="J129" s="85"/>
      <c r="K129" s="85" t="s">
        <v>16</v>
      </c>
      <c r="L129" s="85">
        <v>5</v>
      </c>
      <c r="M129" s="20">
        <f>Table9[[#This Row],[Rate
(Please Select from the list)]]/5</f>
        <v>1</v>
      </c>
      <c r="N129" s="73">
        <v>2.44</v>
      </c>
      <c r="O129" s="74">
        <f>Table9[[#This Row],[Score %]]*Table9[[#This Row],[Item Weight
(Please Select from the list)]]</f>
        <v>2.44</v>
      </c>
      <c r="P129" s="80">
        <v>3</v>
      </c>
      <c r="Q129" t="s">
        <v>46</v>
      </c>
      <c r="R129"/>
      <c r="S129" t="s">
        <v>57</v>
      </c>
      <c r="T129"/>
      <c r="U129" t="s">
        <v>44</v>
      </c>
      <c r="V129" t="s">
        <v>3851</v>
      </c>
      <c r="W129" s="88" t="s">
        <v>4034</v>
      </c>
    </row>
    <row r="130" spans="1:23" ht="14.4">
      <c r="A130" s="7" t="s">
        <v>48</v>
      </c>
      <c r="B130" t="s">
        <v>2466</v>
      </c>
      <c r="C130" t="s">
        <v>2467</v>
      </c>
      <c r="D130" s="7" t="s">
        <v>425</v>
      </c>
      <c r="E130" s="7" t="s">
        <v>426</v>
      </c>
      <c r="F130" s="7" t="s">
        <v>427</v>
      </c>
      <c r="G130" s="7" t="s">
        <v>2584</v>
      </c>
      <c r="H130" s="85" t="s">
        <v>2931</v>
      </c>
      <c r="I130" s="85" t="s">
        <v>2728</v>
      </c>
      <c r="J130" s="85"/>
      <c r="K130" s="85" t="s">
        <v>855</v>
      </c>
      <c r="L130" s="85">
        <v>4</v>
      </c>
      <c r="M130" s="20">
        <f>Table9[[#This Row],[Rate
(Please Select from the list)]]/5</f>
        <v>0.8</v>
      </c>
      <c r="N130" s="73">
        <v>2.44</v>
      </c>
      <c r="O130" s="74">
        <f>Table9[[#This Row],[Score %]]*Table9[[#This Row],[Item Weight
(Please Select from the list)]]</f>
        <v>1.952</v>
      </c>
      <c r="P130" s="80">
        <v>3</v>
      </c>
      <c r="Q130" t="s">
        <v>31</v>
      </c>
      <c r="R130"/>
      <c r="S130" t="s">
        <v>57</v>
      </c>
      <c r="T130"/>
      <c r="U130" t="s">
        <v>44</v>
      </c>
      <c r="V130" t="s">
        <v>3812</v>
      </c>
      <c r="W130" s="88" t="s">
        <v>4034</v>
      </c>
    </row>
    <row r="131" spans="1:23" ht="14.4">
      <c r="A131" s="7" t="s">
        <v>48</v>
      </c>
      <c r="B131" t="s">
        <v>98</v>
      </c>
      <c r="C131" t="s">
        <v>1549</v>
      </c>
      <c r="D131" s="7" t="s">
        <v>428</v>
      </c>
      <c r="E131" s="7" t="s">
        <v>429</v>
      </c>
      <c r="F131" s="7" t="s">
        <v>430</v>
      </c>
      <c r="G131" s="7" t="s">
        <v>2584</v>
      </c>
      <c r="H131" s="85" t="s">
        <v>2932</v>
      </c>
      <c r="I131" s="85" t="s">
        <v>2731</v>
      </c>
      <c r="J131" s="85"/>
      <c r="K131" s="85" t="s">
        <v>47</v>
      </c>
      <c r="L131" s="85">
        <v>5</v>
      </c>
      <c r="M131" s="20">
        <f>Table9[[#This Row],[Rate
(Please Select from the list)]]/5</f>
        <v>1</v>
      </c>
      <c r="N131" s="73">
        <v>2.44</v>
      </c>
      <c r="O131" s="74">
        <f>Table9[[#This Row],[Score %]]*Table9[[#This Row],[Item Weight
(Please Select from the list)]]</f>
        <v>2.44</v>
      </c>
      <c r="P131" s="80">
        <v>3</v>
      </c>
      <c r="Q131" t="s">
        <v>59</v>
      </c>
      <c r="R131"/>
      <c r="S131" t="s">
        <v>57</v>
      </c>
      <c r="T131"/>
      <c r="U131" t="s">
        <v>58</v>
      </c>
      <c r="V131" t="s">
        <v>3851</v>
      </c>
      <c r="W131" s="88" t="s">
        <v>4034</v>
      </c>
    </row>
    <row r="132" spans="1:23" ht="14.4">
      <c r="A132" s="7" t="s">
        <v>48</v>
      </c>
      <c r="B132" t="s">
        <v>2466</v>
      </c>
      <c r="C132" t="s">
        <v>2467</v>
      </c>
      <c r="D132" s="7" t="s">
        <v>431</v>
      </c>
      <c r="E132" s="7" t="s">
        <v>432</v>
      </c>
      <c r="F132" s="7" t="s">
        <v>433</v>
      </c>
      <c r="G132" s="7" t="s">
        <v>2584</v>
      </c>
      <c r="H132" s="85" t="s">
        <v>2933</v>
      </c>
      <c r="I132" s="85" t="s">
        <v>2725</v>
      </c>
      <c r="J132" s="85"/>
      <c r="K132" s="85" t="s">
        <v>47</v>
      </c>
      <c r="L132" s="85">
        <v>4</v>
      </c>
      <c r="M132" s="20">
        <f>Table9[[#This Row],[Rate
(Please Select from the list)]]/5</f>
        <v>0.8</v>
      </c>
      <c r="N132" s="73">
        <v>3.25</v>
      </c>
      <c r="O132" s="74">
        <f>Table9[[#This Row],[Score %]]*Table9[[#This Row],[Item Weight
(Please Select from the list)]]</f>
        <v>2.6</v>
      </c>
      <c r="P132" s="80">
        <v>4</v>
      </c>
      <c r="Q132" t="s">
        <v>31</v>
      </c>
      <c r="R132"/>
      <c r="S132" t="s">
        <v>57</v>
      </c>
      <c r="T132"/>
      <c r="U132" t="s">
        <v>58</v>
      </c>
      <c r="V132" t="s">
        <v>3812</v>
      </c>
      <c r="W132" s="88" t="s">
        <v>4034</v>
      </c>
    </row>
    <row r="133" spans="1:23" ht="14.4">
      <c r="A133" s="7" t="s">
        <v>48</v>
      </c>
      <c r="B133" t="s">
        <v>2470</v>
      </c>
      <c r="C133" t="s">
        <v>1554</v>
      </c>
      <c r="D133" s="7" t="s">
        <v>434</v>
      </c>
      <c r="E133" s="7" t="s">
        <v>435</v>
      </c>
      <c r="F133" s="7" t="s">
        <v>436</v>
      </c>
      <c r="G133" s="7" t="s">
        <v>2584</v>
      </c>
      <c r="H133" s="85" t="s">
        <v>2934</v>
      </c>
      <c r="I133" s="85" t="s">
        <v>2728</v>
      </c>
      <c r="J133" s="85"/>
      <c r="K133" s="85" t="s">
        <v>47</v>
      </c>
      <c r="L133" s="85">
        <v>4</v>
      </c>
      <c r="M133" s="20">
        <f>Table9[[#This Row],[Rate
(Please Select from the list)]]/5</f>
        <v>0.8</v>
      </c>
      <c r="N133" s="73">
        <v>2.44</v>
      </c>
      <c r="O133" s="74">
        <f>Table9[[#This Row],[Score %]]*Table9[[#This Row],[Item Weight
(Please Select from the list)]]</f>
        <v>1.952</v>
      </c>
      <c r="P133" s="80">
        <v>3</v>
      </c>
      <c r="Q133" t="s">
        <v>46</v>
      </c>
      <c r="R133"/>
      <c r="S133" t="s">
        <v>43</v>
      </c>
      <c r="T133"/>
      <c r="U133" t="s">
        <v>44</v>
      </c>
      <c r="V133" t="s">
        <v>3812</v>
      </c>
      <c r="W133" s="88" t="s">
        <v>4034</v>
      </c>
    </row>
    <row r="134" spans="1:23" ht="14.4">
      <c r="A134" s="7" t="s">
        <v>48</v>
      </c>
      <c r="B134" t="s">
        <v>2466</v>
      </c>
      <c r="C134" t="s">
        <v>2467</v>
      </c>
      <c r="D134" s="7" t="s">
        <v>437</v>
      </c>
      <c r="E134" s="7" t="s">
        <v>338</v>
      </c>
      <c r="F134" s="7" t="s">
        <v>438</v>
      </c>
      <c r="G134" s="7" t="s">
        <v>2584</v>
      </c>
      <c r="H134" s="85" t="s">
        <v>2935</v>
      </c>
      <c r="I134" s="85" t="s">
        <v>2725</v>
      </c>
      <c r="J134" s="85"/>
      <c r="K134" s="85" t="s">
        <v>47</v>
      </c>
      <c r="L134" s="85">
        <v>4</v>
      </c>
      <c r="M134" s="20">
        <f>Table9[[#This Row],[Rate
(Please Select from the list)]]/5</f>
        <v>0.8</v>
      </c>
      <c r="N134" s="73">
        <v>2.44</v>
      </c>
      <c r="O134" s="74">
        <f>Table9[[#This Row],[Score %]]*Table9[[#This Row],[Item Weight
(Please Select from the list)]]</f>
        <v>1.952</v>
      </c>
      <c r="P134" s="80">
        <v>3</v>
      </c>
      <c r="Q134" t="s">
        <v>15</v>
      </c>
      <c r="R134"/>
      <c r="S134" t="s">
        <v>57</v>
      </c>
      <c r="T134"/>
      <c r="U134" t="s">
        <v>58</v>
      </c>
      <c r="V134" t="s">
        <v>3812</v>
      </c>
      <c r="W134" s="88" t="s">
        <v>4034</v>
      </c>
    </row>
    <row r="135" spans="1:23" ht="14.4">
      <c r="A135" s="7" t="s">
        <v>48</v>
      </c>
      <c r="B135" t="s">
        <v>2466</v>
      </c>
      <c r="C135" t="s">
        <v>2467</v>
      </c>
      <c r="D135" s="7" t="s">
        <v>439</v>
      </c>
      <c r="E135" s="7" t="s">
        <v>440</v>
      </c>
      <c r="F135" s="7" t="s">
        <v>441</v>
      </c>
      <c r="G135" s="7" t="s">
        <v>2584</v>
      </c>
      <c r="H135" s="85" t="s">
        <v>2936</v>
      </c>
      <c r="I135" s="85" t="s">
        <v>2739</v>
      </c>
      <c r="J135" s="85" t="s">
        <v>2937</v>
      </c>
      <c r="K135" s="85" t="s">
        <v>16</v>
      </c>
      <c r="L135" s="85">
        <v>2</v>
      </c>
      <c r="M135" s="20">
        <f>Table9[[#This Row],[Rate
(Please Select from the list)]]/5</f>
        <v>0.4</v>
      </c>
      <c r="N135" s="73">
        <v>2.44</v>
      </c>
      <c r="O135" s="74">
        <f>Table9[[#This Row],[Score %]]*Table9[[#This Row],[Item Weight
(Please Select from the list)]]</f>
        <v>0.97599999999999998</v>
      </c>
      <c r="P135" s="80">
        <v>3</v>
      </c>
      <c r="Q135" t="s">
        <v>46</v>
      </c>
      <c r="R135" t="s">
        <v>3886</v>
      </c>
      <c r="S135" t="s">
        <v>29</v>
      </c>
      <c r="T135" s="86">
        <v>45421</v>
      </c>
      <c r="U135" t="s">
        <v>30</v>
      </c>
      <c r="V135" t="s">
        <v>3847</v>
      </c>
      <c r="W135" s="88" t="s">
        <v>4034</v>
      </c>
    </row>
    <row r="136" spans="1:23" ht="14.4">
      <c r="A136" s="7" t="s">
        <v>48</v>
      </c>
      <c r="B136" t="s">
        <v>2466</v>
      </c>
      <c r="C136" t="s">
        <v>2467</v>
      </c>
      <c r="D136" s="7" t="s">
        <v>442</v>
      </c>
      <c r="E136" s="7" t="s">
        <v>443</v>
      </c>
      <c r="F136" s="7" t="s">
        <v>444</v>
      </c>
      <c r="G136" s="7" t="s">
        <v>2584</v>
      </c>
      <c r="H136" s="85" t="s">
        <v>2938</v>
      </c>
      <c r="I136" s="85" t="s">
        <v>2716</v>
      </c>
      <c r="J136" s="85" t="s">
        <v>2939</v>
      </c>
      <c r="K136" s="85" t="s">
        <v>16</v>
      </c>
      <c r="L136" s="85">
        <v>3</v>
      </c>
      <c r="M136" s="20">
        <f>Table9[[#This Row],[Rate
(Please Select from the list)]]/5</f>
        <v>0.6</v>
      </c>
      <c r="N136" s="73">
        <v>3.25</v>
      </c>
      <c r="O136" s="74">
        <f>Table9[[#This Row],[Score %]]*Table9[[#This Row],[Item Weight
(Please Select from the list)]]</f>
        <v>1.95</v>
      </c>
      <c r="P136" s="80">
        <v>4</v>
      </c>
      <c r="Q136" t="s">
        <v>46</v>
      </c>
      <c r="R136" t="s">
        <v>3887</v>
      </c>
      <c r="S136" t="s">
        <v>43</v>
      </c>
      <c r="T136" t="s">
        <v>3844</v>
      </c>
      <c r="U136" t="s">
        <v>30</v>
      </c>
      <c r="V136" t="s">
        <v>3813</v>
      </c>
      <c r="W136" s="88" t="s">
        <v>4034</v>
      </c>
    </row>
    <row r="137" spans="1:23" ht="14.4">
      <c r="A137" s="7" t="s">
        <v>48</v>
      </c>
      <c r="B137" t="s">
        <v>2466</v>
      </c>
      <c r="C137" t="s">
        <v>2467</v>
      </c>
      <c r="D137" s="7" t="s">
        <v>445</v>
      </c>
      <c r="E137" s="7" t="s">
        <v>446</v>
      </c>
      <c r="F137" s="7" t="s">
        <v>447</v>
      </c>
      <c r="G137" s="7" t="s">
        <v>2584</v>
      </c>
      <c r="H137" s="85" t="s">
        <v>2940</v>
      </c>
      <c r="I137" s="85" t="s">
        <v>2725</v>
      </c>
      <c r="J137" s="85" t="s">
        <v>2941</v>
      </c>
      <c r="K137" s="85" t="s">
        <v>16</v>
      </c>
      <c r="L137" s="85">
        <v>2</v>
      </c>
      <c r="M137" s="20">
        <f>Table9[[#This Row],[Rate
(Please Select from the list)]]/5</f>
        <v>0.4</v>
      </c>
      <c r="N137" s="73">
        <v>3.25</v>
      </c>
      <c r="O137" s="74">
        <f>Table9[[#This Row],[Score %]]*Table9[[#This Row],[Item Weight
(Please Select from the list)]]</f>
        <v>1.3</v>
      </c>
      <c r="P137" s="80">
        <v>4</v>
      </c>
      <c r="Q137" t="s">
        <v>59</v>
      </c>
      <c r="R137" t="s">
        <v>3888</v>
      </c>
      <c r="S137" t="s">
        <v>29</v>
      </c>
      <c r="T137" s="86">
        <v>45421</v>
      </c>
      <c r="U137" t="s">
        <v>30</v>
      </c>
      <c r="V137" t="s">
        <v>3831</v>
      </c>
      <c r="W137" s="88" t="s">
        <v>4034</v>
      </c>
    </row>
    <row r="138" spans="1:23" ht="14.4">
      <c r="A138" s="7" t="s">
        <v>48</v>
      </c>
      <c r="B138" t="s">
        <v>2466</v>
      </c>
      <c r="C138" t="s">
        <v>2467</v>
      </c>
      <c r="D138" s="7" t="s">
        <v>448</v>
      </c>
      <c r="E138" s="7" t="s">
        <v>449</v>
      </c>
      <c r="F138" s="7" t="s">
        <v>450</v>
      </c>
      <c r="G138" s="7" t="s">
        <v>2584</v>
      </c>
      <c r="H138" s="85" t="s">
        <v>2942</v>
      </c>
      <c r="I138" s="85" t="s">
        <v>2728</v>
      </c>
      <c r="J138" s="85" t="s">
        <v>2943</v>
      </c>
      <c r="K138" s="85" t="s">
        <v>16</v>
      </c>
      <c r="L138" s="85">
        <v>3</v>
      </c>
      <c r="M138" s="20">
        <f>Table9[[#This Row],[Rate
(Please Select from the list)]]/5</f>
        <v>0.6</v>
      </c>
      <c r="N138" s="73">
        <v>3.25</v>
      </c>
      <c r="O138" s="74">
        <f>Table9[[#This Row],[Score %]]*Table9[[#This Row],[Item Weight
(Please Select from the list)]]</f>
        <v>1.95</v>
      </c>
      <c r="P138" s="80">
        <v>4</v>
      </c>
      <c r="Q138" t="s">
        <v>59</v>
      </c>
      <c r="R138"/>
      <c r="S138" t="s">
        <v>43</v>
      </c>
      <c r="T138"/>
      <c r="U138" t="s">
        <v>58</v>
      </c>
      <c r="V138" t="s">
        <v>3825</v>
      </c>
      <c r="W138" s="88" t="s">
        <v>4034</v>
      </c>
    </row>
    <row r="139" spans="1:23" ht="14.4">
      <c r="A139" s="7" t="s">
        <v>48</v>
      </c>
      <c r="B139" t="s">
        <v>2466</v>
      </c>
      <c r="C139" t="s">
        <v>2467</v>
      </c>
      <c r="D139" s="7" t="s">
        <v>451</v>
      </c>
      <c r="E139" s="7" t="s">
        <v>452</v>
      </c>
      <c r="F139" s="7" t="s">
        <v>453</v>
      </c>
      <c r="G139" s="7" t="s">
        <v>2584</v>
      </c>
      <c r="H139" s="85" t="s">
        <v>2944</v>
      </c>
      <c r="I139" s="85" t="s">
        <v>2754</v>
      </c>
      <c r="J139" s="85"/>
      <c r="K139" s="85" t="s">
        <v>16</v>
      </c>
      <c r="L139" s="85">
        <v>5</v>
      </c>
      <c r="M139" s="20">
        <f>Table9[[#This Row],[Rate
(Please Select from the list)]]/5</f>
        <v>1</v>
      </c>
      <c r="N139" s="73">
        <v>3.25</v>
      </c>
      <c r="O139" s="74">
        <f>Table9[[#This Row],[Score %]]*Table9[[#This Row],[Item Weight
(Please Select from the list)]]</f>
        <v>3.25</v>
      </c>
      <c r="P139" s="80">
        <v>4</v>
      </c>
      <c r="Q139" t="s">
        <v>46</v>
      </c>
      <c r="R139"/>
      <c r="S139" t="s">
        <v>57</v>
      </c>
      <c r="T139"/>
      <c r="U139" t="s">
        <v>58</v>
      </c>
      <c r="V139" t="s">
        <v>3851</v>
      </c>
      <c r="W139" s="88" t="s">
        <v>4034</v>
      </c>
    </row>
    <row r="140" spans="1:23" ht="14.4">
      <c r="A140" s="7" t="s">
        <v>48</v>
      </c>
      <c r="B140" t="s">
        <v>2466</v>
      </c>
      <c r="C140" t="s">
        <v>2467</v>
      </c>
      <c r="D140" s="7" t="s">
        <v>454</v>
      </c>
      <c r="E140" s="7" t="s">
        <v>455</v>
      </c>
      <c r="F140" s="7" t="s">
        <v>456</v>
      </c>
      <c r="G140" s="7" t="s">
        <v>2584</v>
      </c>
      <c r="H140" s="85" t="s">
        <v>2945</v>
      </c>
      <c r="I140" s="85" t="s">
        <v>2739</v>
      </c>
      <c r="J140" s="85"/>
      <c r="K140" s="85" t="s">
        <v>47</v>
      </c>
      <c r="L140" s="85">
        <v>4</v>
      </c>
      <c r="M140" s="20">
        <f>Table9[[#This Row],[Rate
(Please Select from the list)]]/5</f>
        <v>0.8</v>
      </c>
      <c r="N140" s="73">
        <v>4.07</v>
      </c>
      <c r="O140" s="74">
        <f>Table9[[#This Row],[Score %]]*Table9[[#This Row],[Item Weight
(Please Select from the list)]]</f>
        <v>3.2560000000000002</v>
      </c>
      <c r="P140" s="80">
        <v>5</v>
      </c>
      <c r="Q140" t="s">
        <v>46</v>
      </c>
      <c r="R140"/>
      <c r="S140" t="s">
        <v>43</v>
      </c>
      <c r="T140"/>
      <c r="U140" t="s">
        <v>58</v>
      </c>
      <c r="V140" t="s">
        <v>3812</v>
      </c>
      <c r="W140" s="88" t="s">
        <v>4034</v>
      </c>
    </row>
    <row r="141" spans="1:23" ht="14.4">
      <c r="A141" s="7" t="s">
        <v>48</v>
      </c>
      <c r="B141" t="s">
        <v>2466</v>
      </c>
      <c r="C141" t="s">
        <v>2467</v>
      </c>
      <c r="D141" s="7" t="s">
        <v>457</v>
      </c>
      <c r="E141" s="7" t="s">
        <v>458</v>
      </c>
      <c r="F141" s="7" t="s">
        <v>459</v>
      </c>
      <c r="G141" s="7" t="s">
        <v>2584</v>
      </c>
      <c r="H141" s="85" t="s">
        <v>2946</v>
      </c>
      <c r="I141" s="85" t="s">
        <v>2739</v>
      </c>
      <c r="J141" s="85"/>
      <c r="K141" s="85" t="s">
        <v>47</v>
      </c>
      <c r="L141" s="85">
        <v>4</v>
      </c>
      <c r="M141" s="20">
        <f>Table9[[#This Row],[Rate
(Please Select from the list)]]/5</f>
        <v>0.8</v>
      </c>
      <c r="N141" s="73">
        <v>2.44</v>
      </c>
      <c r="O141" s="74">
        <f>Table9[[#This Row],[Score %]]*Table9[[#This Row],[Item Weight
(Please Select from the list)]]</f>
        <v>1.952</v>
      </c>
      <c r="P141" s="80">
        <v>3</v>
      </c>
      <c r="Q141" t="s">
        <v>15</v>
      </c>
      <c r="R141"/>
      <c r="S141" t="s">
        <v>57</v>
      </c>
      <c r="T141"/>
      <c r="U141" t="s">
        <v>58</v>
      </c>
      <c r="V141" t="s">
        <v>3812</v>
      </c>
      <c r="W141" s="88" t="s">
        <v>4034</v>
      </c>
    </row>
    <row r="142" spans="1:23" ht="14.4">
      <c r="A142" s="7" t="s">
        <v>1524</v>
      </c>
      <c r="B142" t="s">
        <v>1525</v>
      </c>
      <c r="C142" t="s">
        <v>1526</v>
      </c>
      <c r="D142" s="7" t="s">
        <v>1818</v>
      </c>
      <c r="E142" s="7" t="s">
        <v>1819</v>
      </c>
      <c r="F142" s="7" t="s">
        <v>1820</v>
      </c>
      <c r="G142" s="7" t="s">
        <v>2584</v>
      </c>
      <c r="H142" s="85" t="s">
        <v>2947</v>
      </c>
      <c r="I142" s="85" t="s">
        <v>2716</v>
      </c>
      <c r="J142" s="85"/>
      <c r="K142" s="85" t="s">
        <v>855</v>
      </c>
      <c r="L142" s="85">
        <v>4</v>
      </c>
      <c r="M142" s="20">
        <f>Table9[[#This Row],[Rate
(Please Select from the list)]]/5</f>
        <v>0.8</v>
      </c>
      <c r="N142" s="73">
        <v>2.78</v>
      </c>
      <c r="O142" s="74">
        <f>Table9[[#This Row],[Score %]]*Table9[[#This Row],[Item Weight
(Please Select from the list)]]</f>
        <v>2.2239999999999998</v>
      </c>
      <c r="P142" s="80">
        <v>4</v>
      </c>
      <c r="Q142" t="s">
        <v>46</v>
      </c>
      <c r="R142"/>
      <c r="S142" t="s">
        <v>43</v>
      </c>
      <c r="T142"/>
      <c r="U142" t="s">
        <v>44</v>
      </c>
      <c r="V142" t="s">
        <v>3812</v>
      </c>
      <c r="W142" s="88" t="s">
        <v>4034</v>
      </c>
    </row>
    <row r="143" spans="1:23" ht="14.4">
      <c r="A143" s="7" t="s">
        <v>1524</v>
      </c>
      <c r="B143" t="s">
        <v>1525</v>
      </c>
      <c r="C143" t="s">
        <v>1526</v>
      </c>
      <c r="D143" s="7" t="s">
        <v>1821</v>
      </c>
      <c r="E143" s="7" t="s">
        <v>1822</v>
      </c>
      <c r="F143" s="7" t="s">
        <v>1823</v>
      </c>
      <c r="G143" s="7" t="s">
        <v>2584</v>
      </c>
      <c r="H143" s="85" t="s">
        <v>2948</v>
      </c>
      <c r="I143" s="85" t="s">
        <v>2748</v>
      </c>
      <c r="J143" s="85" t="s">
        <v>2949</v>
      </c>
      <c r="K143" s="85" t="s">
        <v>16</v>
      </c>
      <c r="L143" s="85">
        <v>3</v>
      </c>
      <c r="M143" s="20">
        <f>Table9[[#This Row],[Rate
(Please Select from the list)]]/5</f>
        <v>0.6</v>
      </c>
      <c r="N143" s="73">
        <v>2.78</v>
      </c>
      <c r="O143" s="74">
        <f>Table9[[#This Row],[Score %]]*Table9[[#This Row],[Item Weight
(Please Select from the list)]]</f>
        <v>1.6679999999999999</v>
      </c>
      <c r="P143" s="80">
        <v>4</v>
      </c>
      <c r="Q143" t="s">
        <v>3852</v>
      </c>
      <c r="R143"/>
      <c r="S143" t="s">
        <v>43</v>
      </c>
      <c r="T143"/>
      <c r="U143" t="s">
        <v>58</v>
      </c>
      <c r="V143" t="s">
        <v>3839</v>
      </c>
      <c r="W143" s="88" t="s">
        <v>4034</v>
      </c>
    </row>
    <row r="144" spans="1:23" ht="14.4">
      <c r="A144" s="7" t="s">
        <v>1524</v>
      </c>
      <c r="B144" t="s">
        <v>1525</v>
      </c>
      <c r="C144" t="s">
        <v>1526</v>
      </c>
      <c r="D144" s="7" t="s">
        <v>1824</v>
      </c>
      <c r="E144" s="7" t="s">
        <v>1825</v>
      </c>
      <c r="F144" s="7" t="s">
        <v>1826</v>
      </c>
      <c r="G144" s="7" t="s">
        <v>2584</v>
      </c>
      <c r="H144" s="85" t="s">
        <v>2950</v>
      </c>
      <c r="I144" s="85" t="s">
        <v>2731</v>
      </c>
      <c r="J144" s="85" t="s">
        <v>2951</v>
      </c>
      <c r="K144" s="85" t="s">
        <v>16</v>
      </c>
      <c r="L144" s="85">
        <v>3</v>
      </c>
      <c r="M144" s="20">
        <f>Table9[[#This Row],[Rate
(Please Select from the list)]]/5</f>
        <v>0.6</v>
      </c>
      <c r="N144" s="73">
        <v>2.78</v>
      </c>
      <c r="O144" s="74">
        <f>Table9[[#This Row],[Score %]]*Table9[[#This Row],[Item Weight
(Please Select from the list)]]</f>
        <v>1.6679999999999999</v>
      </c>
      <c r="P144" s="80">
        <v>4</v>
      </c>
      <c r="Q144" t="s">
        <v>15</v>
      </c>
      <c r="R144"/>
      <c r="S144" t="s">
        <v>43</v>
      </c>
      <c r="T144"/>
      <c r="U144" t="s">
        <v>58</v>
      </c>
      <c r="V144" t="s">
        <v>3815</v>
      </c>
      <c r="W144" s="88" t="s">
        <v>4034</v>
      </c>
    </row>
    <row r="145" spans="1:23" ht="14.4">
      <c r="A145" s="7" t="s">
        <v>1524</v>
      </c>
      <c r="B145" t="s">
        <v>1525</v>
      </c>
      <c r="C145" t="s">
        <v>1526</v>
      </c>
      <c r="D145" s="7" t="s">
        <v>1827</v>
      </c>
      <c r="E145" s="7" t="s">
        <v>1828</v>
      </c>
      <c r="F145" s="7" t="s">
        <v>1829</v>
      </c>
      <c r="G145" s="7" t="s">
        <v>2584</v>
      </c>
      <c r="H145" s="85" t="s">
        <v>2952</v>
      </c>
      <c r="I145" s="85" t="s">
        <v>2728</v>
      </c>
      <c r="J145" s="85" t="s">
        <v>2953</v>
      </c>
      <c r="K145" s="85" t="s">
        <v>16</v>
      </c>
      <c r="L145" s="85">
        <v>3</v>
      </c>
      <c r="M145" s="20">
        <f>Table9[[#This Row],[Rate
(Please Select from the list)]]/5</f>
        <v>0.6</v>
      </c>
      <c r="N145" s="73">
        <v>2.78</v>
      </c>
      <c r="O145" s="74">
        <f>Table9[[#This Row],[Score %]]*Table9[[#This Row],[Item Weight
(Please Select from the list)]]</f>
        <v>1.6679999999999999</v>
      </c>
      <c r="P145" s="80">
        <v>4</v>
      </c>
      <c r="Q145" t="s">
        <v>59</v>
      </c>
      <c r="R145"/>
      <c r="S145" t="s">
        <v>43</v>
      </c>
      <c r="T145"/>
      <c r="U145" t="s">
        <v>58</v>
      </c>
      <c r="V145" t="s">
        <v>3815</v>
      </c>
      <c r="W145" s="88" t="s">
        <v>4034</v>
      </c>
    </row>
    <row r="146" spans="1:23" ht="14.4">
      <c r="A146" s="7" t="s">
        <v>1524</v>
      </c>
      <c r="B146" t="s">
        <v>1525</v>
      </c>
      <c r="C146" t="s">
        <v>1526</v>
      </c>
      <c r="D146" s="7" t="s">
        <v>1830</v>
      </c>
      <c r="E146" s="7" t="s">
        <v>1831</v>
      </c>
      <c r="F146" s="7" t="s">
        <v>1832</v>
      </c>
      <c r="G146" s="7" t="s">
        <v>2584</v>
      </c>
      <c r="H146" s="85" t="s">
        <v>2954</v>
      </c>
      <c r="I146" s="85" t="s">
        <v>2725</v>
      </c>
      <c r="J146" s="85"/>
      <c r="K146" s="85" t="s">
        <v>16</v>
      </c>
      <c r="L146" s="85">
        <v>5</v>
      </c>
      <c r="M146" s="20">
        <f>Table9[[#This Row],[Rate
(Please Select from the list)]]/5</f>
        <v>1</v>
      </c>
      <c r="N146" s="73">
        <v>3.47</v>
      </c>
      <c r="O146" s="74">
        <f>Table9[[#This Row],[Score %]]*Table9[[#This Row],[Item Weight
(Please Select from the list)]]</f>
        <v>3.47</v>
      </c>
      <c r="P146" s="80">
        <v>5</v>
      </c>
      <c r="Q146" t="s">
        <v>15</v>
      </c>
      <c r="R146"/>
      <c r="S146" t="s">
        <v>57</v>
      </c>
      <c r="T146"/>
      <c r="U146" t="s">
        <v>58</v>
      </c>
      <c r="V146" t="s">
        <v>3851</v>
      </c>
      <c r="W146" s="88" t="s">
        <v>4034</v>
      </c>
    </row>
    <row r="147" spans="1:23" ht="14.4">
      <c r="A147" s="7" t="s">
        <v>1524</v>
      </c>
      <c r="B147" t="s">
        <v>1525</v>
      </c>
      <c r="C147" t="s">
        <v>1526</v>
      </c>
      <c r="D147" s="7" t="s">
        <v>1833</v>
      </c>
      <c r="E147" s="7" t="s">
        <v>1834</v>
      </c>
      <c r="F147" s="7" t="s">
        <v>1835</v>
      </c>
      <c r="G147" s="7" t="s">
        <v>2584</v>
      </c>
      <c r="H147" s="85" t="s">
        <v>2955</v>
      </c>
      <c r="I147" s="85" t="s">
        <v>2754</v>
      </c>
      <c r="J147" s="85"/>
      <c r="K147" s="85" t="s">
        <v>16</v>
      </c>
      <c r="L147" s="85">
        <v>4</v>
      </c>
      <c r="M147" s="20">
        <f>Table9[[#This Row],[Rate
(Please Select from the list)]]/5</f>
        <v>0.8</v>
      </c>
      <c r="N147" s="73">
        <v>2.78</v>
      </c>
      <c r="O147" s="74">
        <f>Table9[[#This Row],[Score %]]*Table9[[#This Row],[Item Weight
(Please Select from the list)]]</f>
        <v>2.2239999999999998</v>
      </c>
      <c r="P147" s="80">
        <v>4</v>
      </c>
      <c r="Q147" t="s">
        <v>15</v>
      </c>
      <c r="R147"/>
      <c r="S147" t="s">
        <v>57</v>
      </c>
      <c r="T147"/>
      <c r="U147" t="s">
        <v>58</v>
      </c>
      <c r="V147" t="s">
        <v>3812</v>
      </c>
      <c r="W147" s="88" t="s">
        <v>4034</v>
      </c>
    </row>
    <row r="148" spans="1:23" ht="14.4">
      <c r="A148" s="7" t="s">
        <v>1524</v>
      </c>
      <c r="B148" t="s">
        <v>1525</v>
      </c>
      <c r="C148" t="s">
        <v>1526</v>
      </c>
      <c r="D148" s="7" t="s">
        <v>1836</v>
      </c>
      <c r="E148" s="7" t="s">
        <v>1837</v>
      </c>
      <c r="F148" s="7" t="s">
        <v>1838</v>
      </c>
      <c r="G148" s="7" t="s">
        <v>2584</v>
      </c>
      <c r="H148" s="85" t="s">
        <v>2956</v>
      </c>
      <c r="I148" s="85" t="s">
        <v>2748</v>
      </c>
      <c r="J148" s="85" t="s">
        <v>2957</v>
      </c>
      <c r="K148" s="85" t="s">
        <v>16</v>
      </c>
      <c r="L148" s="85">
        <v>1</v>
      </c>
      <c r="M148" s="20">
        <f>Table9[[#This Row],[Rate
(Please Select from the list)]]/5</f>
        <v>0.2</v>
      </c>
      <c r="N148" s="73">
        <v>2.78</v>
      </c>
      <c r="O148" s="74">
        <f>Table9[[#This Row],[Score %]]*Table9[[#This Row],[Item Weight
(Please Select from the list)]]</f>
        <v>0.55599999999999994</v>
      </c>
      <c r="P148" s="80">
        <v>4</v>
      </c>
      <c r="Q148" t="s">
        <v>3852</v>
      </c>
      <c r="R148" t="s">
        <v>3889</v>
      </c>
      <c r="S148" t="s">
        <v>13</v>
      </c>
      <c r="T148" t="s">
        <v>3820</v>
      </c>
      <c r="U148" t="s">
        <v>30</v>
      </c>
      <c r="V148" t="s">
        <v>3827</v>
      </c>
      <c r="W148" s="88" t="s">
        <v>4034</v>
      </c>
    </row>
    <row r="149" spans="1:23" ht="14.4">
      <c r="A149" s="7" t="s">
        <v>1524</v>
      </c>
      <c r="B149" t="s">
        <v>1525</v>
      </c>
      <c r="C149" t="s">
        <v>1526</v>
      </c>
      <c r="D149" s="7" t="s">
        <v>1839</v>
      </c>
      <c r="E149" s="7" t="s">
        <v>1840</v>
      </c>
      <c r="F149" s="7" t="s">
        <v>1790</v>
      </c>
      <c r="G149" s="7" t="s">
        <v>2584</v>
      </c>
      <c r="H149" s="85" t="s">
        <v>2958</v>
      </c>
      <c r="I149" s="85" t="s">
        <v>2728</v>
      </c>
      <c r="J149" s="85" t="s">
        <v>2959</v>
      </c>
      <c r="K149" s="85" t="s">
        <v>16</v>
      </c>
      <c r="L149" s="85">
        <v>2</v>
      </c>
      <c r="M149" s="20">
        <f>Table9[[#This Row],[Rate
(Please Select from the list)]]/5</f>
        <v>0.4</v>
      </c>
      <c r="N149" s="73">
        <v>3.47</v>
      </c>
      <c r="O149" s="74">
        <f>Table9[[#This Row],[Score %]]*Table9[[#This Row],[Item Weight
(Please Select from the list)]]</f>
        <v>1.3880000000000001</v>
      </c>
      <c r="P149" s="80">
        <v>5</v>
      </c>
      <c r="Q149" t="s">
        <v>46</v>
      </c>
      <c r="R149" t="s">
        <v>3890</v>
      </c>
      <c r="S149" t="s">
        <v>29</v>
      </c>
      <c r="T149" s="86">
        <v>45421</v>
      </c>
      <c r="U149" t="s">
        <v>30</v>
      </c>
      <c r="V149" t="s">
        <v>3823</v>
      </c>
      <c r="W149" s="88" t="s">
        <v>4034</v>
      </c>
    </row>
    <row r="150" spans="1:23" ht="14.4">
      <c r="A150" s="7" t="s">
        <v>1524</v>
      </c>
      <c r="B150" t="s">
        <v>1525</v>
      </c>
      <c r="C150" t="s">
        <v>1526</v>
      </c>
      <c r="D150" s="7" t="s">
        <v>1841</v>
      </c>
      <c r="E150" s="7" t="s">
        <v>1842</v>
      </c>
      <c r="F150" s="7" t="s">
        <v>1843</v>
      </c>
      <c r="G150" s="7" t="s">
        <v>2584</v>
      </c>
      <c r="H150" s="85" t="s">
        <v>2960</v>
      </c>
      <c r="I150" s="85" t="s">
        <v>2725</v>
      </c>
      <c r="J150" s="85" t="s">
        <v>2961</v>
      </c>
      <c r="K150" s="85" t="s">
        <v>16</v>
      </c>
      <c r="L150" s="85">
        <v>3</v>
      </c>
      <c r="M150" s="20">
        <f>Table9[[#This Row],[Rate
(Please Select from the list)]]/5</f>
        <v>0.6</v>
      </c>
      <c r="N150" s="73">
        <v>2.78</v>
      </c>
      <c r="O150" s="74">
        <f>Table9[[#This Row],[Score %]]*Table9[[#This Row],[Item Weight
(Please Select from the list)]]</f>
        <v>1.6679999999999999</v>
      </c>
      <c r="P150" s="80">
        <v>4</v>
      </c>
      <c r="Q150" t="s">
        <v>15</v>
      </c>
      <c r="R150"/>
      <c r="S150" t="s">
        <v>43</v>
      </c>
      <c r="T150"/>
      <c r="U150" t="s">
        <v>44</v>
      </c>
      <c r="V150" t="s">
        <v>3813</v>
      </c>
      <c r="W150" s="88" t="s">
        <v>4034</v>
      </c>
    </row>
    <row r="151" spans="1:23" ht="14.4">
      <c r="A151" s="7" t="s">
        <v>1524</v>
      </c>
      <c r="B151" t="s">
        <v>1525</v>
      </c>
      <c r="C151" t="s">
        <v>1526</v>
      </c>
      <c r="D151" s="7" t="s">
        <v>1844</v>
      </c>
      <c r="E151" s="7" t="s">
        <v>1845</v>
      </c>
      <c r="F151" s="7" t="s">
        <v>1846</v>
      </c>
      <c r="G151" s="7" t="s">
        <v>2584</v>
      </c>
      <c r="H151" s="85" t="s">
        <v>2962</v>
      </c>
      <c r="I151" s="85" t="s">
        <v>2739</v>
      </c>
      <c r="J151" s="85"/>
      <c r="K151" s="85" t="s">
        <v>47</v>
      </c>
      <c r="L151" s="85">
        <v>4</v>
      </c>
      <c r="M151" s="20">
        <f>Table9[[#This Row],[Rate
(Please Select from the list)]]/5</f>
        <v>0.8</v>
      </c>
      <c r="N151" s="73">
        <v>2.78</v>
      </c>
      <c r="O151" s="74">
        <f>Table9[[#This Row],[Score %]]*Table9[[#This Row],[Item Weight
(Please Select from the list)]]</f>
        <v>2.2239999999999998</v>
      </c>
      <c r="P151" s="80">
        <v>4</v>
      </c>
      <c r="Q151" t="s">
        <v>15</v>
      </c>
      <c r="R151"/>
      <c r="S151" t="s">
        <v>57</v>
      </c>
      <c r="T151"/>
      <c r="U151" t="s">
        <v>58</v>
      </c>
      <c r="V151" t="s">
        <v>3812</v>
      </c>
      <c r="W151" s="88" t="s">
        <v>4034</v>
      </c>
    </row>
    <row r="152" spans="1:23" ht="14.4">
      <c r="A152" s="7" t="s">
        <v>1524</v>
      </c>
      <c r="B152" t="s">
        <v>1525</v>
      </c>
      <c r="C152" t="s">
        <v>1526</v>
      </c>
      <c r="D152" s="7" t="s">
        <v>1847</v>
      </c>
      <c r="E152" s="7" t="s">
        <v>1848</v>
      </c>
      <c r="F152" s="7" t="s">
        <v>1849</v>
      </c>
      <c r="G152" s="7" t="s">
        <v>2584</v>
      </c>
      <c r="H152" s="85" t="s">
        <v>2963</v>
      </c>
      <c r="I152" s="85" t="s">
        <v>2716</v>
      </c>
      <c r="J152" s="85" t="s">
        <v>2964</v>
      </c>
      <c r="K152" s="85" t="s">
        <v>16</v>
      </c>
      <c r="L152" s="85">
        <v>3</v>
      </c>
      <c r="M152" s="20">
        <f>Table9[[#This Row],[Rate
(Please Select from the list)]]/5</f>
        <v>0.6</v>
      </c>
      <c r="N152" s="73">
        <v>2.78</v>
      </c>
      <c r="O152" s="74">
        <f>Table9[[#This Row],[Score %]]*Table9[[#This Row],[Item Weight
(Please Select from the list)]]</f>
        <v>1.6679999999999999</v>
      </c>
      <c r="P152" s="80">
        <v>4</v>
      </c>
      <c r="Q152" t="s">
        <v>46</v>
      </c>
      <c r="R152"/>
      <c r="S152" t="s">
        <v>43</v>
      </c>
      <c r="T152"/>
      <c r="U152" t="s">
        <v>44</v>
      </c>
      <c r="V152" t="s">
        <v>3825</v>
      </c>
      <c r="W152" s="88" t="s">
        <v>4034</v>
      </c>
    </row>
    <row r="153" spans="1:23" ht="14.4">
      <c r="A153" s="7" t="s">
        <v>1524</v>
      </c>
      <c r="B153" t="s">
        <v>1525</v>
      </c>
      <c r="C153" t="s">
        <v>1526</v>
      </c>
      <c r="D153" s="7" t="s">
        <v>1850</v>
      </c>
      <c r="E153" s="7" t="s">
        <v>1851</v>
      </c>
      <c r="F153" s="7" t="s">
        <v>1852</v>
      </c>
      <c r="G153" s="7" t="s">
        <v>2584</v>
      </c>
      <c r="H153" s="85" t="s">
        <v>2965</v>
      </c>
      <c r="I153" s="85" t="s">
        <v>2795</v>
      </c>
      <c r="J153" s="85"/>
      <c r="K153" s="85" t="s">
        <v>16</v>
      </c>
      <c r="L153" s="85">
        <v>4</v>
      </c>
      <c r="M153" s="20">
        <f>Table9[[#This Row],[Rate
(Please Select from the list)]]/5</f>
        <v>0.8</v>
      </c>
      <c r="N153" s="73">
        <v>2.78</v>
      </c>
      <c r="O153" s="74">
        <f>Table9[[#This Row],[Score %]]*Table9[[#This Row],[Item Weight
(Please Select from the list)]]</f>
        <v>2.2239999999999998</v>
      </c>
      <c r="P153" s="80">
        <v>4</v>
      </c>
      <c r="Q153" t="s">
        <v>59</v>
      </c>
      <c r="R153"/>
      <c r="S153" t="s">
        <v>57</v>
      </c>
      <c r="T153"/>
      <c r="U153" t="s">
        <v>44</v>
      </c>
      <c r="V153" t="s">
        <v>3812</v>
      </c>
      <c r="W153" s="88" t="s">
        <v>4034</v>
      </c>
    </row>
    <row r="154" spans="1:23" ht="14.4">
      <c r="A154" s="7" t="s">
        <v>1524</v>
      </c>
      <c r="B154" t="s">
        <v>1525</v>
      </c>
      <c r="C154" t="s">
        <v>1526</v>
      </c>
      <c r="D154" s="7" t="s">
        <v>1853</v>
      </c>
      <c r="E154" s="7" t="s">
        <v>1854</v>
      </c>
      <c r="F154" s="7" t="s">
        <v>1855</v>
      </c>
      <c r="G154" s="7" t="s">
        <v>2584</v>
      </c>
      <c r="H154" s="85" t="s">
        <v>2966</v>
      </c>
      <c r="I154" s="85" t="s">
        <v>2754</v>
      </c>
      <c r="J154" s="85"/>
      <c r="K154" s="85" t="s">
        <v>855</v>
      </c>
      <c r="L154" s="85">
        <v>4</v>
      </c>
      <c r="M154" s="20">
        <f>Table9[[#This Row],[Rate
(Please Select from the list)]]/5</f>
        <v>0.8</v>
      </c>
      <c r="N154" s="73">
        <v>3.47</v>
      </c>
      <c r="O154" s="74">
        <f>Table9[[#This Row],[Score %]]*Table9[[#This Row],[Item Weight
(Please Select from the list)]]</f>
        <v>2.7760000000000002</v>
      </c>
      <c r="P154" s="80">
        <v>5</v>
      </c>
      <c r="Q154" t="s">
        <v>15</v>
      </c>
      <c r="R154"/>
      <c r="S154" t="s">
        <v>43</v>
      </c>
      <c r="T154"/>
      <c r="U154" t="s">
        <v>44</v>
      </c>
      <c r="V154" t="s">
        <v>3812</v>
      </c>
      <c r="W154" s="88" t="s">
        <v>4034</v>
      </c>
    </row>
    <row r="155" spans="1:23" ht="14.4">
      <c r="A155" s="7" t="s">
        <v>1524</v>
      </c>
      <c r="B155" t="s">
        <v>1525</v>
      </c>
      <c r="C155" t="s">
        <v>1526</v>
      </c>
      <c r="D155" s="7" t="s">
        <v>1856</v>
      </c>
      <c r="E155" s="7" t="s">
        <v>1857</v>
      </c>
      <c r="F155" s="7" t="s">
        <v>1858</v>
      </c>
      <c r="G155" s="7" t="s">
        <v>2584</v>
      </c>
      <c r="H155" s="85" t="s">
        <v>2967</v>
      </c>
      <c r="I155" s="85" t="s">
        <v>2718</v>
      </c>
      <c r="J155" s="85" t="s">
        <v>2968</v>
      </c>
      <c r="K155" s="85" t="s">
        <v>16</v>
      </c>
      <c r="L155" s="85">
        <v>3</v>
      </c>
      <c r="M155" s="20">
        <f>Table9[[#This Row],[Rate
(Please Select from the list)]]/5</f>
        <v>0.6</v>
      </c>
      <c r="N155" s="73">
        <v>3.47</v>
      </c>
      <c r="O155" s="74">
        <f>Table9[[#This Row],[Score %]]*Table9[[#This Row],[Item Weight
(Please Select from the list)]]</f>
        <v>2.0819999999999999</v>
      </c>
      <c r="P155" s="80">
        <v>5</v>
      </c>
      <c r="Q155" t="s">
        <v>46</v>
      </c>
      <c r="R155"/>
      <c r="S155" t="s">
        <v>43</v>
      </c>
      <c r="T155"/>
      <c r="U155" t="s">
        <v>58</v>
      </c>
      <c r="V155" t="s">
        <v>3839</v>
      </c>
      <c r="W155" s="88" t="s">
        <v>4034</v>
      </c>
    </row>
    <row r="156" spans="1:23" ht="14.4">
      <c r="A156" s="7" t="s">
        <v>1524</v>
      </c>
      <c r="B156" t="s">
        <v>1525</v>
      </c>
      <c r="C156" t="s">
        <v>1526</v>
      </c>
      <c r="D156" s="7" t="s">
        <v>1859</v>
      </c>
      <c r="E156" s="7" t="s">
        <v>1860</v>
      </c>
      <c r="F156" s="7" t="s">
        <v>1861</v>
      </c>
      <c r="G156" s="7" t="s">
        <v>2584</v>
      </c>
      <c r="H156" s="85" t="s">
        <v>2969</v>
      </c>
      <c r="I156" s="85" t="s">
        <v>2728</v>
      </c>
      <c r="J156" s="85"/>
      <c r="K156" s="85" t="s">
        <v>47</v>
      </c>
      <c r="L156" s="85">
        <v>4</v>
      </c>
      <c r="M156" s="20">
        <f>Table9[[#This Row],[Rate
(Please Select from the list)]]/5</f>
        <v>0.8</v>
      </c>
      <c r="N156" s="73">
        <v>2.78</v>
      </c>
      <c r="O156" s="74">
        <f>Table9[[#This Row],[Score %]]*Table9[[#This Row],[Item Weight
(Please Select from the list)]]</f>
        <v>2.2239999999999998</v>
      </c>
      <c r="P156" s="80">
        <v>4</v>
      </c>
      <c r="Q156" t="s">
        <v>3852</v>
      </c>
      <c r="R156"/>
      <c r="S156" t="s">
        <v>57</v>
      </c>
      <c r="T156"/>
      <c r="U156" t="s">
        <v>58</v>
      </c>
      <c r="V156" t="s">
        <v>3812</v>
      </c>
      <c r="W156" s="88" t="s">
        <v>4034</v>
      </c>
    </row>
    <row r="157" spans="1:23" ht="14.4">
      <c r="A157" s="7" t="s">
        <v>1524</v>
      </c>
      <c r="B157" t="s">
        <v>1525</v>
      </c>
      <c r="C157" t="s">
        <v>1526</v>
      </c>
      <c r="D157" s="7" t="s">
        <v>1862</v>
      </c>
      <c r="E157" s="7" t="s">
        <v>1863</v>
      </c>
      <c r="F157" s="7" t="s">
        <v>1864</v>
      </c>
      <c r="G157" s="7" t="s">
        <v>2584</v>
      </c>
      <c r="H157" s="85" t="s">
        <v>2970</v>
      </c>
      <c r="I157" s="85" t="s">
        <v>2718</v>
      </c>
      <c r="J157" s="85" t="s">
        <v>2971</v>
      </c>
      <c r="K157" s="85" t="s">
        <v>16</v>
      </c>
      <c r="L157" s="85">
        <v>3</v>
      </c>
      <c r="M157" s="20">
        <f>Table9[[#This Row],[Rate
(Please Select from the list)]]/5</f>
        <v>0.6</v>
      </c>
      <c r="N157" s="73">
        <v>2.78</v>
      </c>
      <c r="O157" s="74">
        <f>Table9[[#This Row],[Score %]]*Table9[[#This Row],[Item Weight
(Please Select from the list)]]</f>
        <v>1.6679999999999999</v>
      </c>
      <c r="P157" s="80">
        <v>4</v>
      </c>
      <c r="Q157" t="s">
        <v>46</v>
      </c>
      <c r="R157"/>
      <c r="S157" t="s">
        <v>43</v>
      </c>
      <c r="T157"/>
      <c r="U157" t="s">
        <v>44</v>
      </c>
      <c r="V157" t="s">
        <v>3825</v>
      </c>
      <c r="W157" s="88" t="s">
        <v>4034</v>
      </c>
    </row>
    <row r="158" spans="1:23" ht="14.4">
      <c r="A158" s="7" t="s">
        <v>1524</v>
      </c>
      <c r="B158" t="s">
        <v>1525</v>
      </c>
      <c r="C158" t="s">
        <v>1526</v>
      </c>
      <c r="D158" s="7" t="s">
        <v>1865</v>
      </c>
      <c r="E158" s="7" t="s">
        <v>1866</v>
      </c>
      <c r="F158" s="7" t="s">
        <v>1867</v>
      </c>
      <c r="G158" s="7" t="s">
        <v>2584</v>
      </c>
      <c r="H158" s="85" t="s">
        <v>2972</v>
      </c>
      <c r="I158" s="85" t="s">
        <v>2731</v>
      </c>
      <c r="J158" s="85" t="s">
        <v>2973</v>
      </c>
      <c r="K158" s="85" t="s">
        <v>16</v>
      </c>
      <c r="L158" s="85">
        <v>3</v>
      </c>
      <c r="M158" s="20">
        <f>Table9[[#This Row],[Rate
(Please Select from the list)]]/5</f>
        <v>0.6</v>
      </c>
      <c r="N158" s="73">
        <v>2.78</v>
      </c>
      <c r="O158" s="74">
        <f>Table9[[#This Row],[Score %]]*Table9[[#This Row],[Item Weight
(Please Select from the list)]]</f>
        <v>1.6679999999999999</v>
      </c>
      <c r="P158" s="80">
        <v>4</v>
      </c>
      <c r="Q158" t="s">
        <v>59</v>
      </c>
      <c r="R158"/>
      <c r="S158" t="s">
        <v>43</v>
      </c>
      <c r="T158"/>
      <c r="U158" t="s">
        <v>44</v>
      </c>
      <c r="V158" t="s">
        <v>3815</v>
      </c>
      <c r="W158" s="88" t="s">
        <v>4034</v>
      </c>
    </row>
    <row r="159" spans="1:23" ht="14.4">
      <c r="A159" s="7" t="s">
        <v>1524</v>
      </c>
      <c r="B159" t="s">
        <v>1525</v>
      </c>
      <c r="C159" t="s">
        <v>1526</v>
      </c>
      <c r="D159" s="7" t="s">
        <v>1868</v>
      </c>
      <c r="E159" s="7" t="s">
        <v>1869</v>
      </c>
      <c r="F159" s="7" t="s">
        <v>1799</v>
      </c>
      <c r="G159" s="7" t="s">
        <v>2584</v>
      </c>
      <c r="H159" s="85" t="s">
        <v>2974</v>
      </c>
      <c r="I159" s="85" t="s">
        <v>2754</v>
      </c>
      <c r="J159" s="85"/>
      <c r="K159" s="85" t="s">
        <v>47</v>
      </c>
      <c r="L159" s="85">
        <v>4</v>
      </c>
      <c r="M159" s="20">
        <f>Table9[[#This Row],[Rate
(Please Select from the list)]]/5</f>
        <v>0.8</v>
      </c>
      <c r="N159" s="73">
        <v>2.78</v>
      </c>
      <c r="O159" s="74">
        <f>Table9[[#This Row],[Score %]]*Table9[[#This Row],[Item Weight
(Please Select from the list)]]</f>
        <v>2.2239999999999998</v>
      </c>
      <c r="P159" s="80">
        <v>4</v>
      </c>
      <c r="Q159" t="s">
        <v>46</v>
      </c>
      <c r="R159"/>
      <c r="S159" t="s">
        <v>57</v>
      </c>
      <c r="T159"/>
      <c r="U159" t="s">
        <v>58</v>
      </c>
      <c r="V159" t="s">
        <v>3812</v>
      </c>
      <c r="W159" s="88" t="s">
        <v>4034</v>
      </c>
    </row>
    <row r="160" spans="1:23" ht="14.4">
      <c r="A160" s="7" t="s">
        <v>1524</v>
      </c>
      <c r="B160" t="s">
        <v>1525</v>
      </c>
      <c r="C160" t="s">
        <v>1526</v>
      </c>
      <c r="D160" s="7" t="s">
        <v>1870</v>
      </c>
      <c r="E160" s="7" t="s">
        <v>1871</v>
      </c>
      <c r="F160" s="7" t="s">
        <v>1872</v>
      </c>
      <c r="G160" s="7" t="s">
        <v>2584</v>
      </c>
      <c r="H160" s="85" t="s">
        <v>2975</v>
      </c>
      <c r="I160" s="85" t="s">
        <v>2736</v>
      </c>
      <c r="J160" s="85" t="s">
        <v>2976</v>
      </c>
      <c r="K160" s="85" t="s">
        <v>16</v>
      </c>
      <c r="L160" s="85">
        <v>3</v>
      </c>
      <c r="M160" s="20">
        <f>Table9[[#This Row],[Rate
(Please Select from the list)]]/5</f>
        <v>0.6</v>
      </c>
      <c r="N160" s="73">
        <v>2.78</v>
      </c>
      <c r="O160" s="74">
        <f>Table9[[#This Row],[Score %]]*Table9[[#This Row],[Item Weight
(Please Select from the list)]]</f>
        <v>1.6679999999999999</v>
      </c>
      <c r="P160" s="80">
        <v>4</v>
      </c>
      <c r="Q160" t="s">
        <v>59</v>
      </c>
      <c r="R160"/>
      <c r="S160" t="s">
        <v>43</v>
      </c>
      <c r="T160"/>
      <c r="U160" t="s">
        <v>44</v>
      </c>
      <c r="V160" t="s">
        <v>3839</v>
      </c>
      <c r="W160" s="88" t="s">
        <v>4034</v>
      </c>
    </row>
    <row r="161" spans="1:23" ht="14.4">
      <c r="A161" s="7" t="s">
        <v>1524</v>
      </c>
      <c r="B161" t="s">
        <v>1525</v>
      </c>
      <c r="C161" t="s">
        <v>1526</v>
      </c>
      <c r="D161" s="7" t="s">
        <v>1873</v>
      </c>
      <c r="E161" s="7" t="s">
        <v>1874</v>
      </c>
      <c r="F161" s="7" t="s">
        <v>1875</v>
      </c>
      <c r="G161" s="7" t="s">
        <v>2584</v>
      </c>
      <c r="H161" s="85" t="s">
        <v>2977</v>
      </c>
      <c r="I161" s="85" t="s">
        <v>2736</v>
      </c>
      <c r="J161" s="85"/>
      <c r="K161" s="85" t="s">
        <v>855</v>
      </c>
      <c r="L161" s="85">
        <v>4</v>
      </c>
      <c r="M161" s="20">
        <f>Table9[[#This Row],[Rate
(Please Select from the list)]]/5</f>
        <v>0.8</v>
      </c>
      <c r="N161" s="73">
        <v>2.78</v>
      </c>
      <c r="O161" s="74">
        <f>Table9[[#This Row],[Score %]]*Table9[[#This Row],[Item Weight
(Please Select from the list)]]</f>
        <v>2.2239999999999998</v>
      </c>
      <c r="P161" s="80">
        <v>4</v>
      </c>
      <c r="Q161" t="s">
        <v>59</v>
      </c>
      <c r="R161"/>
      <c r="S161" t="s">
        <v>57</v>
      </c>
      <c r="T161"/>
      <c r="U161" t="s">
        <v>58</v>
      </c>
      <c r="V161" t="s">
        <v>3812</v>
      </c>
      <c r="W161" s="88" t="s">
        <v>4034</v>
      </c>
    </row>
    <row r="162" spans="1:23" ht="14.4">
      <c r="A162" s="7" t="s">
        <v>1524</v>
      </c>
      <c r="B162" t="s">
        <v>1525</v>
      </c>
      <c r="C162" t="s">
        <v>1526</v>
      </c>
      <c r="D162" s="7" t="s">
        <v>1876</v>
      </c>
      <c r="E162" s="7" t="s">
        <v>1877</v>
      </c>
      <c r="F162" s="7" t="s">
        <v>1878</v>
      </c>
      <c r="G162" s="7" t="s">
        <v>2584</v>
      </c>
      <c r="H162" s="85" t="s">
        <v>2978</v>
      </c>
      <c r="I162" s="85" t="s">
        <v>2748</v>
      </c>
      <c r="J162" s="85"/>
      <c r="K162" s="85" t="s">
        <v>16</v>
      </c>
      <c r="L162" s="85">
        <v>4</v>
      </c>
      <c r="M162" s="20">
        <f>Table9[[#This Row],[Rate
(Please Select from the list)]]/5</f>
        <v>0.8</v>
      </c>
      <c r="N162" s="73">
        <v>2.78</v>
      </c>
      <c r="O162" s="74">
        <f>Table9[[#This Row],[Score %]]*Table9[[#This Row],[Item Weight
(Please Select from the list)]]</f>
        <v>2.2239999999999998</v>
      </c>
      <c r="P162" s="80">
        <v>4</v>
      </c>
      <c r="Q162" t="s">
        <v>15</v>
      </c>
      <c r="R162"/>
      <c r="S162" t="s">
        <v>57</v>
      </c>
      <c r="T162"/>
      <c r="U162" t="s">
        <v>58</v>
      </c>
      <c r="V162" t="s">
        <v>3812</v>
      </c>
      <c r="W162" s="88" t="s">
        <v>4034</v>
      </c>
    </row>
    <row r="163" spans="1:23" ht="14.4">
      <c r="A163" s="7" t="s">
        <v>1524</v>
      </c>
      <c r="B163" t="s">
        <v>1525</v>
      </c>
      <c r="C163" t="s">
        <v>1526</v>
      </c>
      <c r="D163" s="7" t="s">
        <v>1879</v>
      </c>
      <c r="E163" s="7" t="s">
        <v>1880</v>
      </c>
      <c r="F163" s="7" t="s">
        <v>1881</v>
      </c>
      <c r="G163" s="7" t="s">
        <v>2584</v>
      </c>
      <c r="H163" s="85" t="s">
        <v>2979</v>
      </c>
      <c r="I163" s="85" t="s">
        <v>2716</v>
      </c>
      <c r="J163" s="85" t="s">
        <v>2980</v>
      </c>
      <c r="K163" s="85" t="s">
        <v>16</v>
      </c>
      <c r="L163" s="85">
        <v>3</v>
      </c>
      <c r="M163" s="20">
        <f>Table9[[#This Row],[Rate
(Please Select from the list)]]/5</f>
        <v>0.6</v>
      </c>
      <c r="N163" s="73">
        <v>2.78</v>
      </c>
      <c r="O163" s="74">
        <f>Table9[[#This Row],[Score %]]*Table9[[#This Row],[Item Weight
(Please Select from the list)]]</f>
        <v>1.6679999999999999</v>
      </c>
      <c r="P163" s="80">
        <v>4</v>
      </c>
      <c r="Q163" t="s">
        <v>46</v>
      </c>
      <c r="R163" t="s">
        <v>3891</v>
      </c>
      <c r="S163" t="s">
        <v>43</v>
      </c>
      <c r="T163" t="s">
        <v>3844</v>
      </c>
      <c r="U163" t="s">
        <v>30</v>
      </c>
      <c r="V163" t="s">
        <v>3825</v>
      </c>
      <c r="W163" s="88" t="s">
        <v>4034</v>
      </c>
    </row>
    <row r="164" spans="1:23" ht="14.4">
      <c r="A164" s="7" t="s">
        <v>1524</v>
      </c>
      <c r="B164" t="s">
        <v>1525</v>
      </c>
      <c r="C164" t="s">
        <v>1526</v>
      </c>
      <c r="D164" s="7" t="s">
        <v>1882</v>
      </c>
      <c r="E164" s="7" t="s">
        <v>1883</v>
      </c>
      <c r="F164" s="7" t="s">
        <v>1884</v>
      </c>
      <c r="G164" s="7" t="s">
        <v>2584</v>
      </c>
      <c r="H164" s="85" t="s">
        <v>2981</v>
      </c>
      <c r="I164" s="85" t="s">
        <v>2739</v>
      </c>
      <c r="J164" s="85" t="s">
        <v>2982</v>
      </c>
      <c r="K164" s="85" t="s">
        <v>16</v>
      </c>
      <c r="L164" s="85">
        <v>3</v>
      </c>
      <c r="M164" s="20">
        <f>Table9[[#This Row],[Rate
(Please Select from the list)]]/5</f>
        <v>0.6</v>
      </c>
      <c r="N164" s="73">
        <v>2.78</v>
      </c>
      <c r="O164" s="74">
        <f>Table9[[#This Row],[Score %]]*Table9[[#This Row],[Item Weight
(Please Select from the list)]]</f>
        <v>1.6679999999999999</v>
      </c>
      <c r="P164" s="80">
        <v>4</v>
      </c>
      <c r="Q164" t="s">
        <v>59</v>
      </c>
      <c r="R164" t="s">
        <v>3892</v>
      </c>
      <c r="S164" t="s">
        <v>29</v>
      </c>
      <c r="T164" s="86">
        <v>45421</v>
      </c>
      <c r="U164" t="s">
        <v>30</v>
      </c>
      <c r="V164" t="s">
        <v>3825</v>
      </c>
      <c r="W164" s="88" t="s">
        <v>4034</v>
      </c>
    </row>
    <row r="165" spans="1:23" ht="14.4">
      <c r="A165" s="7" t="s">
        <v>1524</v>
      </c>
      <c r="B165" t="s">
        <v>1525</v>
      </c>
      <c r="C165" t="s">
        <v>1526</v>
      </c>
      <c r="D165" s="7" t="s">
        <v>1885</v>
      </c>
      <c r="E165" s="7" t="s">
        <v>1886</v>
      </c>
      <c r="F165" s="7" t="s">
        <v>1887</v>
      </c>
      <c r="G165" s="7" t="s">
        <v>2584</v>
      </c>
      <c r="H165" s="85" t="s">
        <v>2983</v>
      </c>
      <c r="I165" s="85" t="s">
        <v>2748</v>
      </c>
      <c r="J165" s="85"/>
      <c r="K165" s="85" t="s">
        <v>47</v>
      </c>
      <c r="L165" s="85">
        <v>5</v>
      </c>
      <c r="M165" s="20">
        <f>Table9[[#This Row],[Rate
(Please Select from the list)]]/5</f>
        <v>1</v>
      </c>
      <c r="N165" s="73">
        <v>2.78</v>
      </c>
      <c r="O165" s="74">
        <f>Table9[[#This Row],[Score %]]*Table9[[#This Row],[Item Weight
(Please Select from the list)]]</f>
        <v>2.78</v>
      </c>
      <c r="P165" s="80">
        <v>4</v>
      </c>
      <c r="Q165" t="s">
        <v>15</v>
      </c>
      <c r="R165"/>
      <c r="S165" t="s">
        <v>57</v>
      </c>
      <c r="T165"/>
      <c r="U165" t="s">
        <v>58</v>
      </c>
      <c r="V165" t="s">
        <v>3851</v>
      </c>
      <c r="W165" s="88" t="s">
        <v>4034</v>
      </c>
    </row>
    <row r="166" spans="1:23" ht="14.4">
      <c r="A166" s="7" t="s">
        <v>1524</v>
      </c>
      <c r="B166" t="s">
        <v>1525</v>
      </c>
      <c r="C166" t="s">
        <v>1526</v>
      </c>
      <c r="D166" s="7" t="s">
        <v>1888</v>
      </c>
      <c r="E166" s="7" t="s">
        <v>1889</v>
      </c>
      <c r="F166" s="7" t="s">
        <v>1890</v>
      </c>
      <c r="G166" s="7" t="s">
        <v>2584</v>
      </c>
      <c r="H166" s="85" t="s">
        <v>2984</v>
      </c>
      <c r="I166" s="85" t="s">
        <v>2731</v>
      </c>
      <c r="J166" s="85" t="s">
        <v>2985</v>
      </c>
      <c r="K166" s="85" t="s">
        <v>16</v>
      </c>
      <c r="L166" s="85">
        <v>2</v>
      </c>
      <c r="M166" s="20">
        <f>Table9[[#This Row],[Rate
(Please Select from the list)]]/5</f>
        <v>0.4</v>
      </c>
      <c r="N166" s="73">
        <v>2.78</v>
      </c>
      <c r="O166" s="74">
        <f>Table9[[#This Row],[Score %]]*Table9[[#This Row],[Item Weight
(Please Select from the list)]]</f>
        <v>1.1119999999999999</v>
      </c>
      <c r="P166" s="80">
        <v>4</v>
      </c>
      <c r="Q166" t="s">
        <v>46</v>
      </c>
      <c r="R166" t="s">
        <v>3893</v>
      </c>
      <c r="S166" t="s">
        <v>29</v>
      </c>
      <c r="T166" s="86">
        <v>45421</v>
      </c>
      <c r="U166" t="s">
        <v>30</v>
      </c>
      <c r="V166" t="s">
        <v>3859</v>
      </c>
      <c r="W166" s="88" t="s">
        <v>4034</v>
      </c>
    </row>
    <row r="167" spans="1:23" ht="14.4">
      <c r="A167" s="7" t="s">
        <v>1524</v>
      </c>
      <c r="B167" t="s">
        <v>1525</v>
      </c>
      <c r="C167" t="s">
        <v>1526</v>
      </c>
      <c r="D167" s="7" t="s">
        <v>1891</v>
      </c>
      <c r="E167" s="7" t="s">
        <v>1892</v>
      </c>
      <c r="F167" s="7" t="s">
        <v>1893</v>
      </c>
      <c r="G167" s="7" t="s">
        <v>2584</v>
      </c>
      <c r="H167" s="85" t="s">
        <v>2986</v>
      </c>
      <c r="I167" s="85" t="s">
        <v>2731</v>
      </c>
      <c r="J167" s="85"/>
      <c r="K167" s="85" t="s">
        <v>47</v>
      </c>
      <c r="L167" s="85">
        <v>4</v>
      </c>
      <c r="M167" s="20">
        <f>Table9[[#This Row],[Rate
(Please Select from the list)]]/5</f>
        <v>0.8</v>
      </c>
      <c r="N167" s="73">
        <v>2.78</v>
      </c>
      <c r="O167" s="74">
        <f>Table9[[#This Row],[Score %]]*Table9[[#This Row],[Item Weight
(Please Select from the list)]]</f>
        <v>2.2239999999999998</v>
      </c>
      <c r="P167" s="80">
        <v>4</v>
      </c>
      <c r="Q167" t="s">
        <v>59</v>
      </c>
      <c r="R167"/>
      <c r="S167" t="s">
        <v>57</v>
      </c>
      <c r="T167"/>
      <c r="U167" t="s">
        <v>44</v>
      </c>
      <c r="V167" t="s">
        <v>3812</v>
      </c>
      <c r="W167" s="88" t="s">
        <v>4034</v>
      </c>
    </row>
    <row r="168" spans="1:23" ht="14.4">
      <c r="A168" s="7" t="s">
        <v>1524</v>
      </c>
      <c r="B168" t="s">
        <v>1525</v>
      </c>
      <c r="C168" t="s">
        <v>1526</v>
      </c>
      <c r="D168" s="7" t="s">
        <v>1894</v>
      </c>
      <c r="E168" s="7" t="s">
        <v>1895</v>
      </c>
      <c r="F168" s="7" t="s">
        <v>1896</v>
      </c>
      <c r="G168" s="7" t="s">
        <v>2584</v>
      </c>
      <c r="H168" s="85" t="s">
        <v>2987</v>
      </c>
      <c r="I168" s="85" t="s">
        <v>2718</v>
      </c>
      <c r="J168" s="85" t="s">
        <v>2988</v>
      </c>
      <c r="K168" s="85" t="s">
        <v>16</v>
      </c>
      <c r="L168" s="85">
        <v>1</v>
      </c>
      <c r="M168" s="20">
        <f>Table9[[#This Row],[Rate
(Please Select from the list)]]/5</f>
        <v>0.2</v>
      </c>
      <c r="N168" s="73">
        <v>2.78</v>
      </c>
      <c r="O168" s="74">
        <f>Table9[[#This Row],[Score %]]*Table9[[#This Row],[Item Weight
(Please Select from the list)]]</f>
        <v>0.55599999999999994</v>
      </c>
      <c r="P168" s="80">
        <v>4</v>
      </c>
      <c r="Q168" t="s">
        <v>15</v>
      </c>
      <c r="R168" t="s">
        <v>3894</v>
      </c>
      <c r="S168" t="s">
        <v>13</v>
      </c>
      <c r="T168" t="s">
        <v>3820</v>
      </c>
      <c r="U168" t="s">
        <v>30</v>
      </c>
      <c r="V168" t="s">
        <v>3821</v>
      </c>
      <c r="W168" s="88" t="s">
        <v>4034</v>
      </c>
    </row>
    <row r="169" spans="1:23" ht="14.4">
      <c r="A169" s="7" t="s">
        <v>1524</v>
      </c>
      <c r="B169" t="s">
        <v>1525</v>
      </c>
      <c r="C169" t="s">
        <v>1526</v>
      </c>
      <c r="D169" s="7" t="s">
        <v>1897</v>
      </c>
      <c r="E169" s="7" t="s">
        <v>1898</v>
      </c>
      <c r="F169" s="7" t="s">
        <v>1899</v>
      </c>
      <c r="G169" s="7" t="s">
        <v>2584</v>
      </c>
      <c r="H169" s="85" t="s">
        <v>2989</v>
      </c>
      <c r="I169" s="85" t="s">
        <v>2739</v>
      </c>
      <c r="J169" s="85"/>
      <c r="K169" s="85" t="s">
        <v>47</v>
      </c>
      <c r="L169" s="85">
        <v>5</v>
      </c>
      <c r="M169" s="20">
        <f>Table9[[#This Row],[Rate
(Please Select from the list)]]/5</f>
        <v>1</v>
      </c>
      <c r="N169" s="73">
        <v>2.78</v>
      </c>
      <c r="O169" s="74">
        <f>Table9[[#This Row],[Score %]]*Table9[[#This Row],[Item Weight
(Please Select from the list)]]</f>
        <v>2.78</v>
      </c>
      <c r="P169" s="80">
        <v>4</v>
      </c>
      <c r="Q169" t="s">
        <v>15</v>
      </c>
      <c r="R169"/>
      <c r="S169" t="s">
        <v>57</v>
      </c>
      <c r="T169"/>
      <c r="U169" t="s">
        <v>58</v>
      </c>
      <c r="V169" t="s">
        <v>3851</v>
      </c>
      <c r="W169" s="88" t="s">
        <v>4034</v>
      </c>
    </row>
    <row r="170" spans="1:23" ht="14.4">
      <c r="A170" s="7" t="s">
        <v>1524</v>
      </c>
      <c r="B170" t="s">
        <v>1525</v>
      </c>
      <c r="C170" t="s">
        <v>1526</v>
      </c>
      <c r="D170" s="7" t="s">
        <v>1900</v>
      </c>
      <c r="E170" s="7" t="s">
        <v>1901</v>
      </c>
      <c r="F170" s="7" t="s">
        <v>1902</v>
      </c>
      <c r="G170" s="7" t="s">
        <v>2584</v>
      </c>
      <c r="H170" s="85" t="s">
        <v>2990</v>
      </c>
      <c r="I170" s="85" t="s">
        <v>2754</v>
      </c>
      <c r="J170" s="85" t="s">
        <v>2991</v>
      </c>
      <c r="K170" s="85" t="s">
        <v>16</v>
      </c>
      <c r="L170" s="85">
        <v>3</v>
      </c>
      <c r="M170" s="20">
        <f>Table9[[#This Row],[Rate
(Please Select from the list)]]/5</f>
        <v>0.6</v>
      </c>
      <c r="N170" s="73">
        <v>2.78</v>
      </c>
      <c r="O170" s="74">
        <f>Table9[[#This Row],[Score %]]*Table9[[#This Row],[Item Weight
(Please Select from the list)]]</f>
        <v>1.6679999999999999</v>
      </c>
      <c r="P170" s="80">
        <v>4</v>
      </c>
      <c r="Q170" t="s">
        <v>59</v>
      </c>
      <c r="R170" t="s">
        <v>3895</v>
      </c>
      <c r="S170" t="s">
        <v>29</v>
      </c>
      <c r="T170" s="86">
        <v>45421</v>
      </c>
      <c r="U170" t="s">
        <v>30</v>
      </c>
      <c r="V170" t="s">
        <v>3839</v>
      </c>
      <c r="W170" s="88" t="s">
        <v>4034</v>
      </c>
    </row>
    <row r="171" spans="1:23" ht="14.4">
      <c r="A171" s="7" t="s">
        <v>1524</v>
      </c>
      <c r="B171" t="s">
        <v>1525</v>
      </c>
      <c r="C171" t="s">
        <v>1526</v>
      </c>
      <c r="D171" s="7" t="s">
        <v>1903</v>
      </c>
      <c r="E171" s="7" t="s">
        <v>1904</v>
      </c>
      <c r="F171" s="7" t="s">
        <v>1905</v>
      </c>
      <c r="G171" s="7" t="s">
        <v>2584</v>
      </c>
      <c r="H171" s="85" t="s">
        <v>2992</v>
      </c>
      <c r="I171" s="85" t="s">
        <v>2716</v>
      </c>
      <c r="J171" s="85"/>
      <c r="K171" s="85" t="s">
        <v>47</v>
      </c>
      <c r="L171" s="85">
        <v>4</v>
      </c>
      <c r="M171" s="20">
        <f>Table9[[#This Row],[Rate
(Please Select from the list)]]/5</f>
        <v>0.8</v>
      </c>
      <c r="N171" s="73">
        <v>2.78</v>
      </c>
      <c r="O171" s="74">
        <f>Table9[[#This Row],[Score %]]*Table9[[#This Row],[Item Weight
(Please Select from the list)]]</f>
        <v>2.2239999999999998</v>
      </c>
      <c r="P171" s="80">
        <v>4</v>
      </c>
      <c r="Q171" t="s">
        <v>31</v>
      </c>
      <c r="R171"/>
      <c r="S171" t="s">
        <v>57</v>
      </c>
      <c r="T171"/>
      <c r="U171" t="s">
        <v>44</v>
      </c>
      <c r="V171" t="s">
        <v>3812</v>
      </c>
      <c r="W171" s="88" t="s">
        <v>4034</v>
      </c>
    </row>
    <row r="172" spans="1:23" ht="14.4">
      <c r="A172" s="7" t="s">
        <v>1524</v>
      </c>
      <c r="B172" t="s">
        <v>1525</v>
      </c>
      <c r="C172" t="s">
        <v>1526</v>
      </c>
      <c r="D172" s="7" t="s">
        <v>1906</v>
      </c>
      <c r="E172" s="7" t="s">
        <v>1907</v>
      </c>
      <c r="F172" s="7" t="s">
        <v>1908</v>
      </c>
      <c r="G172" s="7" t="s">
        <v>2584</v>
      </c>
      <c r="H172" s="85" t="s">
        <v>2993</v>
      </c>
      <c r="I172" s="85" t="s">
        <v>2795</v>
      </c>
      <c r="J172" s="85"/>
      <c r="K172" s="85" t="s">
        <v>47</v>
      </c>
      <c r="L172" s="85">
        <v>5</v>
      </c>
      <c r="M172" s="20">
        <f>Table9[[#This Row],[Rate
(Please Select from the list)]]/5</f>
        <v>1</v>
      </c>
      <c r="N172" s="73">
        <v>2.78</v>
      </c>
      <c r="O172" s="74">
        <f>Table9[[#This Row],[Score %]]*Table9[[#This Row],[Item Weight
(Please Select from the list)]]</f>
        <v>2.78</v>
      </c>
      <c r="P172" s="80">
        <v>4</v>
      </c>
      <c r="Q172" t="s">
        <v>46</v>
      </c>
      <c r="R172"/>
      <c r="S172" t="s">
        <v>57</v>
      </c>
      <c r="T172"/>
      <c r="U172" t="s">
        <v>44</v>
      </c>
      <c r="V172" t="s">
        <v>3851</v>
      </c>
      <c r="W172" s="88" t="s">
        <v>4034</v>
      </c>
    </row>
    <row r="173" spans="1:23" ht="14.4">
      <c r="A173" s="7" t="s">
        <v>1524</v>
      </c>
      <c r="B173" t="s">
        <v>1525</v>
      </c>
      <c r="C173" t="s">
        <v>1526</v>
      </c>
      <c r="D173" s="7" t="s">
        <v>1909</v>
      </c>
      <c r="E173" s="7" t="s">
        <v>1910</v>
      </c>
      <c r="F173" s="7" t="s">
        <v>1911</v>
      </c>
      <c r="G173" s="7" t="s">
        <v>2584</v>
      </c>
      <c r="H173" s="85" t="s">
        <v>2994</v>
      </c>
      <c r="I173" s="85" t="s">
        <v>2748</v>
      </c>
      <c r="J173" s="85"/>
      <c r="K173" s="85" t="s">
        <v>16</v>
      </c>
      <c r="L173" s="85">
        <v>5</v>
      </c>
      <c r="M173" s="20">
        <f>Table9[[#This Row],[Rate
(Please Select from the list)]]/5</f>
        <v>1</v>
      </c>
      <c r="N173" s="73">
        <v>2.78</v>
      </c>
      <c r="O173" s="74">
        <f>Table9[[#This Row],[Score %]]*Table9[[#This Row],[Item Weight
(Please Select from the list)]]</f>
        <v>2.78</v>
      </c>
      <c r="P173" s="80">
        <v>4</v>
      </c>
      <c r="Q173" t="s">
        <v>15</v>
      </c>
      <c r="R173"/>
      <c r="S173" t="s">
        <v>57</v>
      </c>
      <c r="T173"/>
      <c r="U173" t="s">
        <v>44</v>
      </c>
      <c r="V173" t="s">
        <v>3851</v>
      </c>
      <c r="W173" s="88" t="s">
        <v>4034</v>
      </c>
    </row>
    <row r="174" spans="1:23" ht="14.4">
      <c r="A174" s="7" t="s">
        <v>1524</v>
      </c>
      <c r="B174" t="s">
        <v>1525</v>
      </c>
      <c r="C174" t="s">
        <v>1526</v>
      </c>
      <c r="D174" s="7" t="s">
        <v>1912</v>
      </c>
      <c r="E174" s="7" t="s">
        <v>1913</v>
      </c>
      <c r="F174" s="7" t="s">
        <v>1914</v>
      </c>
      <c r="G174" s="7" t="s">
        <v>2584</v>
      </c>
      <c r="H174" s="85" t="s">
        <v>2995</v>
      </c>
      <c r="I174" s="85" t="s">
        <v>2731</v>
      </c>
      <c r="J174" s="85" t="s">
        <v>2996</v>
      </c>
      <c r="K174" s="85" t="s">
        <v>16</v>
      </c>
      <c r="L174" s="85">
        <v>3</v>
      </c>
      <c r="M174" s="20">
        <f>Table9[[#This Row],[Rate
(Please Select from the list)]]/5</f>
        <v>0.6</v>
      </c>
      <c r="N174" s="73">
        <v>2.78</v>
      </c>
      <c r="O174" s="74">
        <f>Table9[[#This Row],[Score %]]*Table9[[#This Row],[Item Weight
(Please Select from the list)]]</f>
        <v>1.6679999999999999</v>
      </c>
      <c r="P174" s="80">
        <v>4</v>
      </c>
      <c r="Q174" t="s">
        <v>15</v>
      </c>
      <c r="R174"/>
      <c r="S174" t="s">
        <v>43</v>
      </c>
      <c r="T174"/>
      <c r="U174" t="s">
        <v>44</v>
      </c>
      <c r="V174" t="s">
        <v>3839</v>
      </c>
      <c r="W174" s="88" t="s">
        <v>4034</v>
      </c>
    </row>
    <row r="175" spans="1:23" ht="14.4">
      <c r="A175" s="7" t="s">
        <v>1524</v>
      </c>
      <c r="B175" t="s">
        <v>1525</v>
      </c>
      <c r="C175" t="s">
        <v>1526</v>
      </c>
      <c r="D175" s="7" t="s">
        <v>1915</v>
      </c>
      <c r="E175" s="7" t="s">
        <v>1916</v>
      </c>
      <c r="F175" s="7" t="s">
        <v>1917</v>
      </c>
      <c r="G175" s="7" t="s">
        <v>2584</v>
      </c>
      <c r="H175" s="85" t="s">
        <v>2997</v>
      </c>
      <c r="I175" s="85" t="s">
        <v>2728</v>
      </c>
      <c r="J175" s="85"/>
      <c r="K175" s="85" t="s">
        <v>47</v>
      </c>
      <c r="L175" s="85">
        <v>4</v>
      </c>
      <c r="M175" s="20">
        <f>Table9[[#This Row],[Rate
(Please Select from the list)]]/5</f>
        <v>0.8</v>
      </c>
      <c r="N175" s="73">
        <v>2.78</v>
      </c>
      <c r="O175" s="74">
        <f>Table9[[#This Row],[Score %]]*Table9[[#This Row],[Item Weight
(Please Select from the list)]]</f>
        <v>2.2239999999999998</v>
      </c>
      <c r="P175" s="80">
        <v>4</v>
      </c>
      <c r="Q175" t="s">
        <v>31</v>
      </c>
      <c r="R175"/>
      <c r="S175" t="s">
        <v>57</v>
      </c>
      <c r="T175"/>
      <c r="U175" t="s">
        <v>44</v>
      </c>
      <c r="V175" t="s">
        <v>3812</v>
      </c>
      <c r="W175" s="88" t="s">
        <v>4034</v>
      </c>
    </row>
    <row r="176" spans="1:23" ht="14.4">
      <c r="A176" s="7" t="s">
        <v>1524</v>
      </c>
      <c r="B176" t="s">
        <v>1525</v>
      </c>
      <c r="C176" t="s">
        <v>1526</v>
      </c>
      <c r="D176" s="7" t="s">
        <v>1918</v>
      </c>
      <c r="E176" s="7" t="s">
        <v>1919</v>
      </c>
      <c r="F176" s="7" t="s">
        <v>1920</v>
      </c>
      <c r="G176" s="7" t="s">
        <v>2584</v>
      </c>
      <c r="H176" s="85" t="s">
        <v>2998</v>
      </c>
      <c r="I176" s="85" t="s">
        <v>2731</v>
      </c>
      <c r="J176" s="85" t="s">
        <v>2999</v>
      </c>
      <c r="K176" s="85" t="s">
        <v>16</v>
      </c>
      <c r="L176" s="85">
        <v>3</v>
      </c>
      <c r="M176" s="20">
        <f>Table9[[#This Row],[Rate
(Please Select from the list)]]/5</f>
        <v>0.6</v>
      </c>
      <c r="N176" s="73">
        <v>2.78</v>
      </c>
      <c r="O176" s="74">
        <f>Table9[[#This Row],[Score %]]*Table9[[#This Row],[Item Weight
(Please Select from the list)]]</f>
        <v>1.6679999999999999</v>
      </c>
      <c r="P176" s="80">
        <v>4</v>
      </c>
      <c r="Q176" t="s">
        <v>46</v>
      </c>
      <c r="R176" t="s">
        <v>3896</v>
      </c>
      <c r="S176" t="s">
        <v>29</v>
      </c>
      <c r="T176" s="86">
        <v>45421</v>
      </c>
      <c r="U176" t="s">
        <v>14</v>
      </c>
      <c r="V176" t="s">
        <v>3817</v>
      </c>
      <c r="W176" s="88" t="s">
        <v>4034</v>
      </c>
    </row>
    <row r="177" spans="1:23" ht="14.4">
      <c r="A177" s="7" t="s">
        <v>1490</v>
      </c>
      <c r="B177" t="s">
        <v>1491</v>
      </c>
      <c r="C177" t="s">
        <v>2474</v>
      </c>
      <c r="D177" s="7" t="s">
        <v>1921</v>
      </c>
      <c r="E177" s="7" t="s">
        <v>1922</v>
      </c>
      <c r="F177" s="7" t="s">
        <v>1923</v>
      </c>
      <c r="G177" s="7" t="s">
        <v>2584</v>
      </c>
      <c r="H177" s="85" t="s">
        <v>3000</v>
      </c>
      <c r="I177" s="85" t="s">
        <v>2728</v>
      </c>
      <c r="J177" s="85"/>
      <c r="K177" s="85" t="s">
        <v>855</v>
      </c>
      <c r="L177" s="85">
        <v>4</v>
      </c>
      <c r="M177" s="20">
        <f>Table9[[#This Row],[Rate
(Please Select from the list)]]/5</f>
        <v>0.8</v>
      </c>
      <c r="N177" s="73">
        <v>3.29</v>
      </c>
      <c r="O177" s="74">
        <f>Table9[[#This Row],[Score %]]*Table9[[#This Row],[Item Weight
(Please Select from the list)]]</f>
        <v>2.6320000000000001</v>
      </c>
      <c r="P177" s="80">
        <v>5</v>
      </c>
      <c r="Q177" t="s">
        <v>46</v>
      </c>
      <c r="R177"/>
      <c r="S177" t="s">
        <v>43</v>
      </c>
      <c r="T177"/>
      <c r="U177" t="s">
        <v>44</v>
      </c>
      <c r="V177" t="s">
        <v>3812</v>
      </c>
      <c r="W177" s="88" t="s">
        <v>4034</v>
      </c>
    </row>
    <row r="178" spans="1:23" ht="14.4">
      <c r="A178" s="7" t="s">
        <v>1490</v>
      </c>
      <c r="B178" t="s">
        <v>1491</v>
      </c>
      <c r="C178" t="s">
        <v>2474</v>
      </c>
      <c r="D178" s="7" t="s">
        <v>1924</v>
      </c>
      <c r="E178" s="7" t="s">
        <v>1925</v>
      </c>
      <c r="F178" s="7" t="s">
        <v>1926</v>
      </c>
      <c r="G178" s="7" t="s">
        <v>2584</v>
      </c>
      <c r="H178" s="85" t="s">
        <v>3001</v>
      </c>
      <c r="I178" s="85" t="s">
        <v>2718</v>
      </c>
      <c r="J178" s="85" t="s">
        <v>3002</v>
      </c>
      <c r="K178" s="85" t="s">
        <v>16</v>
      </c>
      <c r="L178" s="85">
        <v>3</v>
      </c>
      <c r="M178" s="20">
        <f>Table9[[#This Row],[Rate
(Please Select from the list)]]/5</f>
        <v>0.6</v>
      </c>
      <c r="N178" s="73">
        <v>2.63</v>
      </c>
      <c r="O178" s="74">
        <f>Table9[[#This Row],[Score %]]*Table9[[#This Row],[Item Weight
(Please Select from the list)]]</f>
        <v>1.5779999999999998</v>
      </c>
      <c r="P178" s="80">
        <v>4</v>
      </c>
      <c r="Q178" t="s">
        <v>46</v>
      </c>
      <c r="R178" t="s">
        <v>3897</v>
      </c>
      <c r="S178" t="s">
        <v>29</v>
      </c>
      <c r="T178" s="86">
        <v>45421</v>
      </c>
      <c r="U178" t="s">
        <v>30</v>
      </c>
      <c r="V178" t="s">
        <v>3839</v>
      </c>
      <c r="W178" s="88" t="s">
        <v>4034</v>
      </c>
    </row>
    <row r="179" spans="1:23" ht="14.4">
      <c r="A179" s="7" t="s">
        <v>1490</v>
      </c>
      <c r="B179" t="s">
        <v>1491</v>
      </c>
      <c r="C179" t="s">
        <v>2474</v>
      </c>
      <c r="D179" s="7" t="s">
        <v>1927</v>
      </c>
      <c r="E179" s="7" t="s">
        <v>1928</v>
      </c>
      <c r="F179" s="7" t="s">
        <v>1929</v>
      </c>
      <c r="G179" s="7" t="s">
        <v>2584</v>
      </c>
      <c r="H179" s="85" t="s">
        <v>3003</v>
      </c>
      <c r="I179" s="85" t="s">
        <v>2725</v>
      </c>
      <c r="J179" s="85"/>
      <c r="K179" s="85" t="s">
        <v>855</v>
      </c>
      <c r="L179" s="85">
        <v>4</v>
      </c>
      <c r="M179" s="20">
        <f>Table9[[#This Row],[Rate
(Please Select from the list)]]/5</f>
        <v>0.8</v>
      </c>
      <c r="N179" s="73">
        <v>3.29</v>
      </c>
      <c r="O179" s="74">
        <f>Table9[[#This Row],[Score %]]*Table9[[#This Row],[Item Weight
(Please Select from the list)]]</f>
        <v>2.6320000000000001</v>
      </c>
      <c r="P179" s="80">
        <v>5</v>
      </c>
      <c r="Q179" t="s">
        <v>59</v>
      </c>
      <c r="R179"/>
      <c r="S179" t="s">
        <v>43</v>
      </c>
      <c r="T179"/>
      <c r="U179" t="s">
        <v>58</v>
      </c>
      <c r="V179" t="s">
        <v>3812</v>
      </c>
      <c r="W179" s="88" t="s">
        <v>4034</v>
      </c>
    </row>
    <row r="180" spans="1:23" ht="14.4">
      <c r="A180" s="7" t="s">
        <v>1490</v>
      </c>
      <c r="B180" t="s">
        <v>1491</v>
      </c>
      <c r="C180" t="s">
        <v>2474</v>
      </c>
      <c r="D180" s="7" t="s">
        <v>1930</v>
      </c>
      <c r="E180" s="7" t="s">
        <v>1931</v>
      </c>
      <c r="F180" s="7" t="s">
        <v>1932</v>
      </c>
      <c r="G180" s="7" t="s">
        <v>2584</v>
      </c>
      <c r="H180" s="85" t="s">
        <v>3004</v>
      </c>
      <c r="I180" s="85" t="s">
        <v>2731</v>
      </c>
      <c r="J180" s="85"/>
      <c r="K180" s="85" t="s">
        <v>47</v>
      </c>
      <c r="L180" s="85">
        <v>4</v>
      </c>
      <c r="M180" s="20">
        <f>Table9[[#This Row],[Rate
(Please Select from the list)]]/5</f>
        <v>0.8</v>
      </c>
      <c r="N180" s="73">
        <v>3.29</v>
      </c>
      <c r="O180" s="74">
        <f>Table9[[#This Row],[Score %]]*Table9[[#This Row],[Item Weight
(Please Select from the list)]]</f>
        <v>2.6320000000000001</v>
      </c>
      <c r="P180" s="80">
        <v>5</v>
      </c>
      <c r="Q180" t="s">
        <v>59</v>
      </c>
      <c r="R180"/>
      <c r="S180" t="s">
        <v>43</v>
      </c>
      <c r="T180"/>
      <c r="U180" t="s">
        <v>58</v>
      </c>
      <c r="V180" t="s">
        <v>3812</v>
      </c>
      <c r="W180" s="88" t="s">
        <v>4034</v>
      </c>
    </row>
    <row r="181" spans="1:23" ht="14.4">
      <c r="A181" s="7" t="s">
        <v>1490</v>
      </c>
      <c r="B181" t="s">
        <v>1491</v>
      </c>
      <c r="C181" t="s">
        <v>2474</v>
      </c>
      <c r="D181" s="7" t="s">
        <v>1933</v>
      </c>
      <c r="E181" s="7" t="s">
        <v>1934</v>
      </c>
      <c r="F181" s="7" t="s">
        <v>1935</v>
      </c>
      <c r="G181" s="7" t="s">
        <v>2584</v>
      </c>
      <c r="H181" s="85" t="s">
        <v>3005</v>
      </c>
      <c r="I181" s="85" t="s">
        <v>2728</v>
      </c>
      <c r="J181" s="85"/>
      <c r="K181" s="85" t="s">
        <v>47</v>
      </c>
      <c r="L181" s="85">
        <v>4</v>
      </c>
      <c r="M181" s="20">
        <f>Table9[[#This Row],[Rate
(Please Select from the list)]]/5</f>
        <v>0.8</v>
      </c>
      <c r="N181" s="73">
        <v>3.29</v>
      </c>
      <c r="O181" s="74">
        <f>Table9[[#This Row],[Score %]]*Table9[[#This Row],[Item Weight
(Please Select from the list)]]</f>
        <v>2.6320000000000001</v>
      </c>
      <c r="P181" s="80">
        <v>5</v>
      </c>
      <c r="Q181" t="s">
        <v>59</v>
      </c>
      <c r="R181"/>
      <c r="S181" t="s">
        <v>43</v>
      </c>
      <c r="T181"/>
      <c r="U181" t="s">
        <v>44</v>
      </c>
      <c r="V181" t="s">
        <v>3812</v>
      </c>
      <c r="W181" s="88" t="s">
        <v>4034</v>
      </c>
    </row>
    <row r="182" spans="1:23" ht="14.4">
      <c r="A182" s="7" t="s">
        <v>1490</v>
      </c>
      <c r="B182" t="s">
        <v>1491</v>
      </c>
      <c r="C182" t="s">
        <v>2474</v>
      </c>
      <c r="D182" s="7" t="s">
        <v>1936</v>
      </c>
      <c r="E182" s="7" t="s">
        <v>1937</v>
      </c>
      <c r="F182" s="7" t="s">
        <v>1938</v>
      </c>
      <c r="G182" s="7" t="s">
        <v>2584</v>
      </c>
      <c r="H182" s="85" t="s">
        <v>3006</v>
      </c>
      <c r="I182" s="85" t="s">
        <v>2795</v>
      </c>
      <c r="J182" s="85" t="s">
        <v>3007</v>
      </c>
      <c r="K182" s="85" t="s">
        <v>16</v>
      </c>
      <c r="L182" s="85">
        <v>3</v>
      </c>
      <c r="M182" s="20">
        <f>Table9[[#This Row],[Rate
(Please Select from the list)]]/5</f>
        <v>0.6</v>
      </c>
      <c r="N182" s="73">
        <v>3.29</v>
      </c>
      <c r="O182" s="74">
        <f>Table9[[#This Row],[Score %]]*Table9[[#This Row],[Item Weight
(Please Select from the list)]]</f>
        <v>1.974</v>
      </c>
      <c r="P182" s="80">
        <v>5</v>
      </c>
      <c r="Q182" t="s">
        <v>59</v>
      </c>
      <c r="R182" t="s">
        <v>3898</v>
      </c>
      <c r="S182" t="s">
        <v>29</v>
      </c>
      <c r="T182" s="86">
        <v>45421</v>
      </c>
      <c r="U182" t="s">
        <v>30</v>
      </c>
      <c r="V182" t="s">
        <v>3817</v>
      </c>
      <c r="W182" s="88" t="s">
        <v>4034</v>
      </c>
    </row>
    <row r="183" spans="1:23" ht="14.4">
      <c r="A183" s="7" t="s">
        <v>1490</v>
      </c>
      <c r="B183" t="s">
        <v>1491</v>
      </c>
      <c r="C183" t="s">
        <v>2474</v>
      </c>
      <c r="D183" s="7" t="s">
        <v>1939</v>
      </c>
      <c r="E183" s="7" t="s">
        <v>1940</v>
      </c>
      <c r="F183" s="7" t="s">
        <v>1941</v>
      </c>
      <c r="G183" s="7" t="s">
        <v>2584</v>
      </c>
      <c r="H183" s="85" t="s">
        <v>3008</v>
      </c>
      <c r="I183" s="85" t="s">
        <v>2754</v>
      </c>
      <c r="J183" s="85"/>
      <c r="K183" s="85" t="s">
        <v>47</v>
      </c>
      <c r="L183" s="85">
        <v>4</v>
      </c>
      <c r="M183" s="20">
        <f>Table9[[#This Row],[Rate
(Please Select from the list)]]/5</f>
        <v>0.8</v>
      </c>
      <c r="N183" s="73">
        <v>3.29</v>
      </c>
      <c r="O183" s="74">
        <f>Table9[[#This Row],[Score %]]*Table9[[#This Row],[Item Weight
(Please Select from the list)]]</f>
        <v>2.6320000000000001</v>
      </c>
      <c r="P183" s="80">
        <v>5</v>
      </c>
      <c r="Q183" t="s">
        <v>59</v>
      </c>
      <c r="R183"/>
      <c r="S183" t="s">
        <v>43</v>
      </c>
      <c r="T183"/>
      <c r="U183" t="s">
        <v>44</v>
      </c>
      <c r="V183" t="s">
        <v>3812</v>
      </c>
      <c r="W183" s="88" t="s">
        <v>4034</v>
      </c>
    </row>
    <row r="184" spans="1:23" ht="14.4">
      <c r="A184" s="7" t="s">
        <v>1490</v>
      </c>
      <c r="B184" t="s">
        <v>1491</v>
      </c>
      <c r="C184" t="s">
        <v>2474</v>
      </c>
      <c r="D184" s="7" t="s">
        <v>1942</v>
      </c>
      <c r="E184" s="7" t="s">
        <v>1943</v>
      </c>
      <c r="F184" s="7" t="s">
        <v>1944</v>
      </c>
      <c r="G184" s="7" t="s">
        <v>2584</v>
      </c>
      <c r="H184" s="85" t="s">
        <v>3009</v>
      </c>
      <c r="I184" s="85" t="s">
        <v>2795</v>
      </c>
      <c r="J184" s="85"/>
      <c r="K184" s="85" t="s">
        <v>855</v>
      </c>
      <c r="L184" s="85">
        <v>4</v>
      </c>
      <c r="M184" s="20">
        <f>Table9[[#This Row],[Rate
(Please Select from the list)]]/5</f>
        <v>0.8</v>
      </c>
      <c r="N184" s="73">
        <v>2.63</v>
      </c>
      <c r="O184" s="74">
        <f>Table9[[#This Row],[Score %]]*Table9[[#This Row],[Item Weight
(Please Select from the list)]]</f>
        <v>2.1040000000000001</v>
      </c>
      <c r="P184" s="80">
        <v>4</v>
      </c>
      <c r="Q184" t="s">
        <v>59</v>
      </c>
      <c r="R184"/>
      <c r="S184" t="s">
        <v>57</v>
      </c>
      <c r="T184"/>
      <c r="U184" t="s">
        <v>44</v>
      </c>
      <c r="V184" t="s">
        <v>3812</v>
      </c>
      <c r="W184" s="88" t="s">
        <v>4034</v>
      </c>
    </row>
    <row r="185" spans="1:23" ht="14.4">
      <c r="A185" s="7" t="s">
        <v>1490</v>
      </c>
      <c r="B185" t="s">
        <v>1491</v>
      </c>
      <c r="C185" t="s">
        <v>2474</v>
      </c>
      <c r="D185" s="7" t="s">
        <v>1945</v>
      </c>
      <c r="E185" s="7" t="s">
        <v>1946</v>
      </c>
      <c r="F185" s="7" t="s">
        <v>1947</v>
      </c>
      <c r="G185" s="7" t="s">
        <v>2584</v>
      </c>
      <c r="H185" s="85" t="s">
        <v>3010</v>
      </c>
      <c r="I185" s="85" t="s">
        <v>2736</v>
      </c>
      <c r="J185" s="85"/>
      <c r="K185" s="85" t="s">
        <v>16</v>
      </c>
      <c r="L185" s="85">
        <v>4</v>
      </c>
      <c r="M185" s="20">
        <f>Table9[[#This Row],[Rate
(Please Select from the list)]]/5</f>
        <v>0.8</v>
      </c>
      <c r="N185" s="73">
        <v>2.63</v>
      </c>
      <c r="O185" s="74">
        <f>Table9[[#This Row],[Score %]]*Table9[[#This Row],[Item Weight
(Please Select from the list)]]</f>
        <v>2.1040000000000001</v>
      </c>
      <c r="P185" s="80">
        <v>4</v>
      </c>
      <c r="Q185" t="s">
        <v>46</v>
      </c>
      <c r="R185" t="s">
        <v>3899</v>
      </c>
      <c r="S185" t="s">
        <v>43</v>
      </c>
      <c r="T185" t="s">
        <v>3844</v>
      </c>
      <c r="U185" t="s">
        <v>30</v>
      </c>
      <c r="V185" t="s">
        <v>3812</v>
      </c>
      <c r="W185" s="88" t="s">
        <v>4034</v>
      </c>
    </row>
    <row r="186" spans="1:23" ht="14.4">
      <c r="A186" s="7" t="s">
        <v>1490</v>
      </c>
      <c r="B186" t="s">
        <v>1491</v>
      </c>
      <c r="C186" t="s">
        <v>2474</v>
      </c>
      <c r="D186" s="7" t="s">
        <v>1948</v>
      </c>
      <c r="E186" s="7" t="s">
        <v>1949</v>
      </c>
      <c r="F186" s="7" t="s">
        <v>1950</v>
      </c>
      <c r="G186" s="7" t="s">
        <v>2584</v>
      </c>
      <c r="H186" s="85" t="s">
        <v>3011</v>
      </c>
      <c r="I186" s="85" t="s">
        <v>2728</v>
      </c>
      <c r="J186" s="85" t="s">
        <v>3012</v>
      </c>
      <c r="K186" s="85" t="s">
        <v>16</v>
      </c>
      <c r="L186" s="85">
        <v>2</v>
      </c>
      <c r="M186" s="20">
        <f>Table9[[#This Row],[Rate
(Please Select from the list)]]/5</f>
        <v>0.4</v>
      </c>
      <c r="N186" s="73">
        <v>2.63</v>
      </c>
      <c r="O186" s="74">
        <f>Table9[[#This Row],[Score %]]*Table9[[#This Row],[Item Weight
(Please Select from the list)]]</f>
        <v>1.052</v>
      </c>
      <c r="P186" s="80">
        <v>4</v>
      </c>
      <c r="Q186" t="s">
        <v>59</v>
      </c>
      <c r="R186" t="s">
        <v>3900</v>
      </c>
      <c r="S186" t="s">
        <v>13</v>
      </c>
      <c r="T186" t="s">
        <v>3820</v>
      </c>
      <c r="U186" t="s">
        <v>14</v>
      </c>
      <c r="V186" t="s">
        <v>3859</v>
      </c>
      <c r="W186" s="88" t="s">
        <v>4034</v>
      </c>
    </row>
    <row r="187" spans="1:23" ht="14.4">
      <c r="A187" s="7" t="s">
        <v>1490</v>
      </c>
      <c r="B187" t="s">
        <v>1491</v>
      </c>
      <c r="C187" t="s">
        <v>2474</v>
      </c>
      <c r="D187" s="7" t="s">
        <v>1951</v>
      </c>
      <c r="E187" s="7" t="s">
        <v>1952</v>
      </c>
      <c r="F187" s="7" t="s">
        <v>1953</v>
      </c>
      <c r="G187" s="7" t="s">
        <v>2584</v>
      </c>
      <c r="H187" s="85" t="s">
        <v>3013</v>
      </c>
      <c r="I187" s="85" t="s">
        <v>2718</v>
      </c>
      <c r="J187" s="85"/>
      <c r="K187" s="85" t="s">
        <v>855</v>
      </c>
      <c r="L187" s="85">
        <v>4</v>
      </c>
      <c r="M187" s="20">
        <f>Table9[[#This Row],[Rate
(Please Select from the list)]]/5</f>
        <v>0.8</v>
      </c>
      <c r="N187" s="73">
        <v>2.63</v>
      </c>
      <c r="O187" s="74">
        <f>Table9[[#This Row],[Score %]]*Table9[[#This Row],[Item Weight
(Please Select from the list)]]</f>
        <v>2.1040000000000001</v>
      </c>
      <c r="P187" s="80">
        <v>4</v>
      </c>
      <c r="Q187" t="s">
        <v>59</v>
      </c>
      <c r="R187"/>
      <c r="S187" t="s">
        <v>43</v>
      </c>
      <c r="T187"/>
      <c r="U187" t="s">
        <v>44</v>
      </c>
      <c r="V187" t="s">
        <v>3812</v>
      </c>
      <c r="W187" s="88" t="s">
        <v>4034</v>
      </c>
    </row>
    <row r="188" spans="1:23" ht="14.4">
      <c r="A188" s="7" t="s">
        <v>1490</v>
      </c>
      <c r="B188" t="s">
        <v>1491</v>
      </c>
      <c r="C188" t="s">
        <v>2474</v>
      </c>
      <c r="D188" s="7" t="s">
        <v>1954</v>
      </c>
      <c r="E188" s="7" t="s">
        <v>1955</v>
      </c>
      <c r="F188" s="7" t="s">
        <v>1956</v>
      </c>
      <c r="G188" s="7" t="s">
        <v>2584</v>
      </c>
      <c r="H188" s="85" t="s">
        <v>3014</v>
      </c>
      <c r="I188" s="85" t="s">
        <v>2718</v>
      </c>
      <c r="J188" s="85" t="s">
        <v>3015</v>
      </c>
      <c r="K188" s="85" t="s">
        <v>16</v>
      </c>
      <c r="L188" s="85">
        <v>2</v>
      </c>
      <c r="M188" s="20">
        <f>Table9[[#This Row],[Rate
(Please Select from the list)]]/5</f>
        <v>0.4</v>
      </c>
      <c r="N188" s="73">
        <v>2.63</v>
      </c>
      <c r="O188" s="74">
        <f>Table9[[#This Row],[Score %]]*Table9[[#This Row],[Item Weight
(Please Select from the list)]]</f>
        <v>1.052</v>
      </c>
      <c r="P188" s="80">
        <v>4</v>
      </c>
      <c r="Q188" t="s">
        <v>59</v>
      </c>
      <c r="R188" t="s">
        <v>3901</v>
      </c>
      <c r="S188" t="s">
        <v>29</v>
      </c>
      <c r="T188" s="86">
        <v>45421</v>
      </c>
      <c r="U188" t="s">
        <v>14</v>
      </c>
      <c r="V188" t="s">
        <v>3834</v>
      </c>
      <c r="W188" s="88" t="s">
        <v>4034</v>
      </c>
    </row>
    <row r="189" spans="1:23" ht="14.4">
      <c r="A189" s="7" t="s">
        <v>1490</v>
      </c>
      <c r="B189" t="s">
        <v>1491</v>
      </c>
      <c r="C189" t="s">
        <v>2474</v>
      </c>
      <c r="D189" s="7" t="s">
        <v>1957</v>
      </c>
      <c r="E189" s="7" t="s">
        <v>1958</v>
      </c>
      <c r="F189" s="7" t="s">
        <v>1959</v>
      </c>
      <c r="G189" s="7" t="s">
        <v>2584</v>
      </c>
      <c r="H189" s="85" t="s">
        <v>3016</v>
      </c>
      <c r="I189" s="85" t="s">
        <v>2725</v>
      </c>
      <c r="J189" s="85"/>
      <c r="K189" s="85" t="s">
        <v>47</v>
      </c>
      <c r="L189" s="85">
        <v>4</v>
      </c>
      <c r="M189" s="20">
        <f>Table9[[#This Row],[Rate
(Please Select from the list)]]/5</f>
        <v>0.8</v>
      </c>
      <c r="N189" s="73">
        <v>3.29</v>
      </c>
      <c r="O189" s="74">
        <f>Table9[[#This Row],[Score %]]*Table9[[#This Row],[Item Weight
(Please Select from the list)]]</f>
        <v>2.6320000000000001</v>
      </c>
      <c r="P189" s="80">
        <v>5</v>
      </c>
      <c r="Q189" t="s">
        <v>59</v>
      </c>
      <c r="R189"/>
      <c r="S189" t="s">
        <v>57</v>
      </c>
      <c r="T189"/>
      <c r="U189" t="s">
        <v>58</v>
      </c>
      <c r="V189" t="s">
        <v>3812</v>
      </c>
      <c r="W189" s="88" t="s">
        <v>4034</v>
      </c>
    </row>
    <row r="190" spans="1:23" ht="14.4">
      <c r="A190" s="7" t="s">
        <v>1490</v>
      </c>
      <c r="B190" t="s">
        <v>1491</v>
      </c>
      <c r="C190" t="s">
        <v>2474</v>
      </c>
      <c r="D190" s="7" t="s">
        <v>1960</v>
      </c>
      <c r="E190" s="7" t="s">
        <v>1961</v>
      </c>
      <c r="F190" s="7" t="s">
        <v>1962</v>
      </c>
      <c r="G190" s="7" t="s">
        <v>2584</v>
      </c>
      <c r="H190" s="85" t="s">
        <v>3017</v>
      </c>
      <c r="I190" s="85" t="s">
        <v>2736</v>
      </c>
      <c r="J190" s="85"/>
      <c r="K190" s="85" t="s">
        <v>855</v>
      </c>
      <c r="L190" s="85">
        <v>4</v>
      </c>
      <c r="M190" s="20">
        <f>Table9[[#This Row],[Rate
(Please Select from the list)]]/5</f>
        <v>0.8</v>
      </c>
      <c r="N190" s="73">
        <v>2.63</v>
      </c>
      <c r="O190" s="74">
        <f>Table9[[#This Row],[Score %]]*Table9[[#This Row],[Item Weight
(Please Select from the list)]]</f>
        <v>2.1040000000000001</v>
      </c>
      <c r="P190" s="80">
        <v>4</v>
      </c>
      <c r="Q190" t="s">
        <v>46</v>
      </c>
      <c r="R190"/>
      <c r="S190" t="s">
        <v>43</v>
      </c>
      <c r="T190"/>
      <c r="U190" t="s">
        <v>44</v>
      </c>
      <c r="V190" t="s">
        <v>3812</v>
      </c>
      <c r="W190" s="88" t="s">
        <v>4034</v>
      </c>
    </row>
    <row r="191" spans="1:23" ht="14.4">
      <c r="A191" s="7" t="s">
        <v>1490</v>
      </c>
      <c r="B191" t="s">
        <v>1491</v>
      </c>
      <c r="C191" t="s">
        <v>2474</v>
      </c>
      <c r="D191" s="7" t="s">
        <v>1963</v>
      </c>
      <c r="E191" s="7" t="s">
        <v>1964</v>
      </c>
      <c r="F191" s="7" t="s">
        <v>1965</v>
      </c>
      <c r="G191" s="7" t="s">
        <v>2584</v>
      </c>
      <c r="H191" s="85" t="s">
        <v>3018</v>
      </c>
      <c r="I191" s="85" t="s">
        <v>2736</v>
      </c>
      <c r="J191" s="85" t="s">
        <v>3019</v>
      </c>
      <c r="K191" s="85" t="s">
        <v>16</v>
      </c>
      <c r="L191" s="85">
        <v>3</v>
      </c>
      <c r="M191" s="20">
        <f>Table9[[#This Row],[Rate
(Please Select from the list)]]/5</f>
        <v>0.6</v>
      </c>
      <c r="N191" s="73">
        <v>3.29</v>
      </c>
      <c r="O191" s="74">
        <f>Table9[[#This Row],[Score %]]*Table9[[#This Row],[Item Weight
(Please Select from the list)]]</f>
        <v>1.974</v>
      </c>
      <c r="P191" s="80">
        <v>5</v>
      </c>
      <c r="Q191" t="s">
        <v>59</v>
      </c>
      <c r="R191" t="s">
        <v>3902</v>
      </c>
      <c r="S191" t="s">
        <v>29</v>
      </c>
      <c r="T191" s="86">
        <v>45421</v>
      </c>
      <c r="U191" t="s">
        <v>14</v>
      </c>
      <c r="V191" t="s">
        <v>3825</v>
      </c>
      <c r="W191" s="88" t="s">
        <v>4034</v>
      </c>
    </row>
    <row r="192" spans="1:23" ht="14.4">
      <c r="A192" s="7" t="s">
        <v>1490</v>
      </c>
      <c r="B192" t="s">
        <v>1491</v>
      </c>
      <c r="C192" t="s">
        <v>2474</v>
      </c>
      <c r="D192" s="7" t="s">
        <v>1966</v>
      </c>
      <c r="E192" s="7" t="s">
        <v>1967</v>
      </c>
      <c r="F192" s="7" t="s">
        <v>1968</v>
      </c>
      <c r="G192" s="7" t="s">
        <v>2584</v>
      </c>
      <c r="H192" s="85" t="s">
        <v>3020</v>
      </c>
      <c r="I192" s="85" t="s">
        <v>2736</v>
      </c>
      <c r="J192" s="85"/>
      <c r="K192" s="85" t="s">
        <v>47</v>
      </c>
      <c r="L192" s="85">
        <v>4</v>
      </c>
      <c r="M192" s="20">
        <f>Table9[[#This Row],[Rate
(Please Select from the list)]]/5</f>
        <v>0.8</v>
      </c>
      <c r="N192" s="73">
        <v>3.29</v>
      </c>
      <c r="O192" s="74">
        <f>Table9[[#This Row],[Score %]]*Table9[[#This Row],[Item Weight
(Please Select from the list)]]</f>
        <v>2.6320000000000001</v>
      </c>
      <c r="P192" s="80">
        <v>5</v>
      </c>
      <c r="Q192" t="s">
        <v>46</v>
      </c>
      <c r="R192"/>
      <c r="S192" t="s">
        <v>43</v>
      </c>
      <c r="T192"/>
      <c r="U192" t="s">
        <v>44</v>
      </c>
      <c r="V192" t="s">
        <v>3812</v>
      </c>
      <c r="W192" s="88" t="s">
        <v>4034</v>
      </c>
    </row>
    <row r="193" spans="1:23" ht="14.4">
      <c r="A193" s="7" t="s">
        <v>1490</v>
      </c>
      <c r="B193" t="s">
        <v>1491</v>
      </c>
      <c r="C193" t="s">
        <v>2474</v>
      </c>
      <c r="D193" s="7" t="s">
        <v>1969</v>
      </c>
      <c r="E193" s="7" t="s">
        <v>1970</v>
      </c>
      <c r="F193" s="7" t="s">
        <v>1971</v>
      </c>
      <c r="G193" s="7" t="s">
        <v>2584</v>
      </c>
      <c r="H193" s="85" t="s">
        <v>3021</v>
      </c>
      <c r="I193" s="85" t="s">
        <v>2748</v>
      </c>
      <c r="J193" s="85"/>
      <c r="K193" s="85" t="s">
        <v>855</v>
      </c>
      <c r="L193" s="85">
        <v>4</v>
      </c>
      <c r="M193" s="20">
        <f>Table9[[#This Row],[Rate
(Please Select from the list)]]/5</f>
        <v>0.8</v>
      </c>
      <c r="N193" s="73">
        <v>3.29</v>
      </c>
      <c r="O193" s="74">
        <f>Table9[[#This Row],[Score %]]*Table9[[#This Row],[Item Weight
(Please Select from the list)]]</f>
        <v>2.6320000000000001</v>
      </c>
      <c r="P193" s="80">
        <v>5</v>
      </c>
      <c r="Q193" t="s">
        <v>59</v>
      </c>
      <c r="R193"/>
      <c r="S193" t="s">
        <v>43</v>
      </c>
      <c r="T193"/>
      <c r="U193" t="s">
        <v>58</v>
      </c>
      <c r="V193" t="s">
        <v>3812</v>
      </c>
      <c r="W193" s="88" t="s">
        <v>4034</v>
      </c>
    </row>
    <row r="194" spans="1:23" ht="14.4">
      <c r="A194" s="7" t="s">
        <v>1490</v>
      </c>
      <c r="B194" t="s">
        <v>1491</v>
      </c>
      <c r="C194" t="s">
        <v>2474</v>
      </c>
      <c r="D194" s="7" t="s">
        <v>1972</v>
      </c>
      <c r="E194" s="7" t="s">
        <v>1973</v>
      </c>
      <c r="F194" s="7" t="s">
        <v>1974</v>
      </c>
      <c r="G194" s="7" t="s">
        <v>2584</v>
      </c>
      <c r="H194" s="85" t="s">
        <v>3022</v>
      </c>
      <c r="I194" s="85" t="s">
        <v>2731</v>
      </c>
      <c r="J194" s="85"/>
      <c r="K194" s="85" t="s">
        <v>16</v>
      </c>
      <c r="L194" s="85">
        <v>4</v>
      </c>
      <c r="M194" s="20">
        <f>Table9[[#This Row],[Rate
(Please Select from the list)]]/5</f>
        <v>0.8</v>
      </c>
      <c r="N194" s="73">
        <v>2.63</v>
      </c>
      <c r="O194" s="74">
        <f>Table9[[#This Row],[Score %]]*Table9[[#This Row],[Item Weight
(Please Select from the list)]]</f>
        <v>2.1040000000000001</v>
      </c>
      <c r="P194" s="80">
        <v>4</v>
      </c>
      <c r="Q194" t="s">
        <v>46</v>
      </c>
      <c r="R194"/>
      <c r="S194" t="s">
        <v>57</v>
      </c>
      <c r="T194"/>
      <c r="U194" t="s">
        <v>44</v>
      </c>
      <c r="V194" t="s">
        <v>3812</v>
      </c>
      <c r="W194" s="88" t="s">
        <v>4034</v>
      </c>
    </row>
    <row r="195" spans="1:23" ht="14.4">
      <c r="A195" s="7" t="s">
        <v>1490</v>
      </c>
      <c r="B195" t="s">
        <v>1491</v>
      </c>
      <c r="C195" t="s">
        <v>2474</v>
      </c>
      <c r="D195" s="7" t="s">
        <v>1975</v>
      </c>
      <c r="E195" s="7" t="s">
        <v>1976</v>
      </c>
      <c r="F195" s="7" t="s">
        <v>1977</v>
      </c>
      <c r="G195" s="7" t="s">
        <v>2584</v>
      </c>
      <c r="H195" s="85" t="s">
        <v>3023</v>
      </c>
      <c r="I195" s="85" t="s">
        <v>2718</v>
      </c>
      <c r="J195" s="85"/>
      <c r="K195" s="85" t="s">
        <v>47</v>
      </c>
      <c r="L195" s="85">
        <v>4</v>
      </c>
      <c r="M195" s="20">
        <f>Table9[[#This Row],[Rate
(Please Select from the list)]]/5</f>
        <v>0.8</v>
      </c>
      <c r="N195" s="73">
        <v>2.63</v>
      </c>
      <c r="O195" s="74">
        <f>Table9[[#This Row],[Score %]]*Table9[[#This Row],[Item Weight
(Please Select from the list)]]</f>
        <v>2.1040000000000001</v>
      </c>
      <c r="P195" s="80">
        <v>4</v>
      </c>
      <c r="Q195" t="s">
        <v>59</v>
      </c>
      <c r="R195"/>
      <c r="S195" t="s">
        <v>43</v>
      </c>
      <c r="T195"/>
      <c r="U195" t="s">
        <v>58</v>
      </c>
      <c r="V195" t="s">
        <v>3812</v>
      </c>
      <c r="W195" s="88" t="s">
        <v>4034</v>
      </c>
    </row>
    <row r="196" spans="1:23" ht="14.4">
      <c r="A196" s="7" t="s">
        <v>1490</v>
      </c>
      <c r="B196" t="s">
        <v>1491</v>
      </c>
      <c r="C196" t="s">
        <v>2474</v>
      </c>
      <c r="D196" s="7" t="s">
        <v>1978</v>
      </c>
      <c r="E196" s="7" t="s">
        <v>1979</v>
      </c>
      <c r="F196" s="7" t="s">
        <v>1980</v>
      </c>
      <c r="G196" s="7" t="s">
        <v>2584</v>
      </c>
      <c r="H196" s="85" t="s">
        <v>3024</v>
      </c>
      <c r="I196" s="85" t="s">
        <v>2731</v>
      </c>
      <c r="J196" s="85"/>
      <c r="K196" s="85" t="s">
        <v>855</v>
      </c>
      <c r="L196" s="85">
        <v>5</v>
      </c>
      <c r="M196" s="20">
        <f>Table9[[#This Row],[Rate
(Please Select from the list)]]/5</f>
        <v>1</v>
      </c>
      <c r="N196" s="73">
        <v>2.63</v>
      </c>
      <c r="O196" s="74">
        <f>Table9[[#This Row],[Score %]]*Table9[[#This Row],[Item Weight
(Please Select from the list)]]</f>
        <v>2.63</v>
      </c>
      <c r="P196" s="80">
        <v>4</v>
      </c>
      <c r="Q196" t="s">
        <v>59</v>
      </c>
      <c r="R196"/>
      <c r="S196" t="s">
        <v>57</v>
      </c>
      <c r="T196"/>
      <c r="U196" t="s">
        <v>58</v>
      </c>
      <c r="V196" t="s">
        <v>3851</v>
      </c>
      <c r="W196" s="88" t="s">
        <v>4034</v>
      </c>
    </row>
    <row r="197" spans="1:23" ht="14.4">
      <c r="A197" s="7" t="s">
        <v>1490</v>
      </c>
      <c r="B197" t="s">
        <v>1491</v>
      </c>
      <c r="C197" t="s">
        <v>2474</v>
      </c>
      <c r="D197" s="7" t="s">
        <v>1981</v>
      </c>
      <c r="E197" s="7" t="s">
        <v>1982</v>
      </c>
      <c r="F197" s="7" t="s">
        <v>1983</v>
      </c>
      <c r="G197" s="7" t="s">
        <v>2584</v>
      </c>
      <c r="H197" s="85" t="s">
        <v>3025</v>
      </c>
      <c r="I197" s="85" t="s">
        <v>2754</v>
      </c>
      <c r="J197" s="85"/>
      <c r="K197" s="85" t="s">
        <v>16</v>
      </c>
      <c r="L197" s="85">
        <v>5</v>
      </c>
      <c r="M197" s="20">
        <f>Table9[[#This Row],[Rate
(Please Select from the list)]]/5</f>
        <v>1</v>
      </c>
      <c r="N197" s="73">
        <v>2.63</v>
      </c>
      <c r="O197" s="74">
        <f>Table9[[#This Row],[Score %]]*Table9[[#This Row],[Item Weight
(Please Select from the list)]]</f>
        <v>2.63</v>
      </c>
      <c r="P197" s="80">
        <v>4</v>
      </c>
      <c r="Q197" t="s">
        <v>46</v>
      </c>
      <c r="R197"/>
      <c r="S197" t="s">
        <v>57</v>
      </c>
      <c r="T197"/>
      <c r="U197" t="s">
        <v>58</v>
      </c>
      <c r="V197" t="s">
        <v>3851</v>
      </c>
      <c r="W197" s="88" t="s">
        <v>4034</v>
      </c>
    </row>
    <row r="198" spans="1:23" ht="14.4">
      <c r="A198" s="7" t="s">
        <v>1490</v>
      </c>
      <c r="B198" t="s">
        <v>1491</v>
      </c>
      <c r="C198" t="s">
        <v>2474</v>
      </c>
      <c r="D198" s="7" t="s">
        <v>1984</v>
      </c>
      <c r="E198" s="7" t="s">
        <v>1985</v>
      </c>
      <c r="F198" s="7" t="s">
        <v>1986</v>
      </c>
      <c r="G198" s="7" t="s">
        <v>2584</v>
      </c>
      <c r="H198" s="85" t="s">
        <v>3026</v>
      </c>
      <c r="I198" s="85" t="s">
        <v>2731</v>
      </c>
      <c r="J198" s="85" t="s">
        <v>3027</v>
      </c>
      <c r="K198" s="85" t="s">
        <v>16</v>
      </c>
      <c r="L198" s="85">
        <v>3</v>
      </c>
      <c r="M198" s="20">
        <f>Table9[[#This Row],[Rate
(Please Select from the list)]]/5</f>
        <v>0.6</v>
      </c>
      <c r="N198" s="73">
        <v>2.63</v>
      </c>
      <c r="O198" s="74">
        <f>Table9[[#This Row],[Score %]]*Table9[[#This Row],[Item Weight
(Please Select from the list)]]</f>
        <v>1.5779999999999998</v>
      </c>
      <c r="P198" s="80">
        <v>4</v>
      </c>
      <c r="Q198" t="s">
        <v>59</v>
      </c>
      <c r="R198" t="s">
        <v>3903</v>
      </c>
      <c r="S198" t="s">
        <v>29</v>
      </c>
      <c r="T198" s="86">
        <v>45421</v>
      </c>
      <c r="U198" t="s">
        <v>30</v>
      </c>
      <c r="V198" t="s">
        <v>3815</v>
      </c>
      <c r="W198" s="88" t="s">
        <v>4034</v>
      </c>
    </row>
    <row r="199" spans="1:23" ht="14.4">
      <c r="A199" s="7" t="s">
        <v>1490</v>
      </c>
      <c r="B199" t="s">
        <v>1491</v>
      </c>
      <c r="C199" t="s">
        <v>2474</v>
      </c>
      <c r="D199" s="7" t="s">
        <v>1987</v>
      </c>
      <c r="E199" s="7" t="s">
        <v>1988</v>
      </c>
      <c r="F199" s="7" t="s">
        <v>1989</v>
      </c>
      <c r="G199" s="7" t="s">
        <v>2584</v>
      </c>
      <c r="H199" s="85" t="s">
        <v>3028</v>
      </c>
      <c r="I199" s="85" t="s">
        <v>2795</v>
      </c>
      <c r="J199" s="85"/>
      <c r="K199" s="85" t="s">
        <v>47</v>
      </c>
      <c r="L199" s="85">
        <v>4</v>
      </c>
      <c r="M199" s="20">
        <f>Table9[[#This Row],[Rate
(Please Select from the list)]]/5</f>
        <v>0.8</v>
      </c>
      <c r="N199" s="73">
        <v>2.63</v>
      </c>
      <c r="O199" s="74">
        <f>Table9[[#This Row],[Score %]]*Table9[[#This Row],[Item Weight
(Please Select from the list)]]</f>
        <v>2.1040000000000001</v>
      </c>
      <c r="P199" s="80">
        <v>4</v>
      </c>
      <c r="Q199" t="s">
        <v>46</v>
      </c>
      <c r="R199"/>
      <c r="S199" t="s">
        <v>43</v>
      </c>
      <c r="T199"/>
      <c r="U199" t="s">
        <v>44</v>
      </c>
      <c r="V199" t="s">
        <v>3812</v>
      </c>
      <c r="W199" s="88" t="s">
        <v>4034</v>
      </c>
    </row>
    <row r="200" spans="1:23" ht="14.4">
      <c r="A200" s="7" t="s">
        <v>1490</v>
      </c>
      <c r="B200" t="s">
        <v>1491</v>
      </c>
      <c r="C200" t="s">
        <v>2474</v>
      </c>
      <c r="D200" s="7" t="s">
        <v>1990</v>
      </c>
      <c r="E200" s="7" t="s">
        <v>1991</v>
      </c>
      <c r="F200" s="7" t="s">
        <v>1992</v>
      </c>
      <c r="G200" s="7" t="s">
        <v>2584</v>
      </c>
      <c r="H200" s="85" t="s">
        <v>3029</v>
      </c>
      <c r="I200" s="85" t="s">
        <v>2739</v>
      </c>
      <c r="J200" s="85"/>
      <c r="K200" s="85" t="s">
        <v>16</v>
      </c>
      <c r="L200" s="85">
        <v>4</v>
      </c>
      <c r="M200" s="20">
        <f>Table9[[#This Row],[Rate
(Please Select from the list)]]/5</f>
        <v>0.8</v>
      </c>
      <c r="N200" s="73">
        <v>2.63</v>
      </c>
      <c r="O200" s="74">
        <f>Table9[[#This Row],[Score %]]*Table9[[#This Row],[Item Weight
(Please Select from the list)]]</f>
        <v>2.1040000000000001</v>
      </c>
      <c r="P200" s="80">
        <v>4</v>
      </c>
      <c r="Q200" t="s">
        <v>59</v>
      </c>
      <c r="R200"/>
      <c r="S200" t="s">
        <v>43</v>
      </c>
      <c r="T200"/>
      <c r="U200" t="s">
        <v>58</v>
      </c>
      <c r="V200" t="s">
        <v>3812</v>
      </c>
      <c r="W200" s="88" t="s">
        <v>4034</v>
      </c>
    </row>
    <row r="201" spans="1:23" ht="14.4">
      <c r="A201" s="7" t="s">
        <v>1490</v>
      </c>
      <c r="B201" t="s">
        <v>1491</v>
      </c>
      <c r="C201" t="s">
        <v>2474</v>
      </c>
      <c r="D201" s="7" t="s">
        <v>1993</v>
      </c>
      <c r="E201" s="7" t="s">
        <v>1994</v>
      </c>
      <c r="F201" s="7" t="s">
        <v>1995</v>
      </c>
      <c r="G201" s="7" t="s">
        <v>2584</v>
      </c>
      <c r="H201" s="85" t="s">
        <v>3030</v>
      </c>
      <c r="I201" s="85" t="s">
        <v>2748</v>
      </c>
      <c r="J201" s="85"/>
      <c r="K201" s="85" t="s">
        <v>47</v>
      </c>
      <c r="L201" s="85">
        <v>5</v>
      </c>
      <c r="M201" s="20">
        <f>Table9[[#This Row],[Rate
(Please Select from the list)]]/5</f>
        <v>1</v>
      </c>
      <c r="N201" s="73">
        <v>2.63</v>
      </c>
      <c r="O201" s="74">
        <f>Table9[[#This Row],[Score %]]*Table9[[#This Row],[Item Weight
(Please Select from the list)]]</f>
        <v>2.63</v>
      </c>
      <c r="P201" s="80">
        <v>4</v>
      </c>
      <c r="Q201" t="s">
        <v>59</v>
      </c>
      <c r="R201"/>
      <c r="S201" t="s">
        <v>57</v>
      </c>
      <c r="T201"/>
      <c r="U201" t="s">
        <v>44</v>
      </c>
      <c r="V201" t="s">
        <v>3851</v>
      </c>
      <c r="W201" s="88" t="s">
        <v>4034</v>
      </c>
    </row>
    <row r="202" spans="1:23" ht="14.4">
      <c r="A202" s="7" t="s">
        <v>1490</v>
      </c>
      <c r="B202" t="s">
        <v>1491</v>
      </c>
      <c r="C202" t="s">
        <v>2474</v>
      </c>
      <c r="D202" s="7" t="s">
        <v>1996</v>
      </c>
      <c r="E202" s="7" t="s">
        <v>1997</v>
      </c>
      <c r="F202" s="7" t="s">
        <v>1998</v>
      </c>
      <c r="G202" s="7" t="s">
        <v>2584</v>
      </c>
      <c r="H202" s="85" t="s">
        <v>3031</v>
      </c>
      <c r="I202" s="85" t="s">
        <v>2739</v>
      </c>
      <c r="J202" s="85"/>
      <c r="K202" s="85" t="s">
        <v>855</v>
      </c>
      <c r="L202" s="85">
        <v>4</v>
      </c>
      <c r="M202" s="20">
        <f>Table9[[#This Row],[Rate
(Please Select from the list)]]/5</f>
        <v>0.8</v>
      </c>
      <c r="N202" s="73">
        <v>2.63</v>
      </c>
      <c r="O202" s="74">
        <f>Table9[[#This Row],[Score %]]*Table9[[#This Row],[Item Weight
(Please Select from the list)]]</f>
        <v>2.1040000000000001</v>
      </c>
      <c r="P202" s="80">
        <v>4</v>
      </c>
      <c r="Q202" t="s">
        <v>59</v>
      </c>
      <c r="R202"/>
      <c r="S202" t="s">
        <v>57</v>
      </c>
      <c r="T202"/>
      <c r="U202" t="s">
        <v>58</v>
      </c>
      <c r="V202" t="s">
        <v>3812</v>
      </c>
      <c r="W202" s="88" t="s">
        <v>4034</v>
      </c>
    </row>
    <row r="203" spans="1:23" ht="14.4">
      <c r="A203" s="7" t="s">
        <v>1490</v>
      </c>
      <c r="B203" t="s">
        <v>1491</v>
      </c>
      <c r="C203" t="s">
        <v>2474</v>
      </c>
      <c r="D203" s="7" t="s">
        <v>1999</v>
      </c>
      <c r="E203" s="7" t="s">
        <v>2000</v>
      </c>
      <c r="F203" s="7" t="s">
        <v>2001</v>
      </c>
      <c r="G203" s="7" t="s">
        <v>2584</v>
      </c>
      <c r="H203" s="85" t="s">
        <v>3032</v>
      </c>
      <c r="I203" s="85" t="s">
        <v>2795</v>
      </c>
      <c r="J203" s="85"/>
      <c r="K203" s="85" t="s">
        <v>855</v>
      </c>
      <c r="L203" s="85">
        <v>4</v>
      </c>
      <c r="M203" s="20">
        <f>Table9[[#This Row],[Rate
(Please Select from the list)]]/5</f>
        <v>0.8</v>
      </c>
      <c r="N203" s="73">
        <v>2.63</v>
      </c>
      <c r="O203" s="74">
        <f>Table9[[#This Row],[Score %]]*Table9[[#This Row],[Item Weight
(Please Select from the list)]]</f>
        <v>2.1040000000000001</v>
      </c>
      <c r="P203" s="80">
        <v>4</v>
      </c>
      <c r="Q203" t="s">
        <v>46</v>
      </c>
      <c r="R203"/>
      <c r="S203" t="s">
        <v>43</v>
      </c>
      <c r="T203"/>
      <c r="U203" t="s">
        <v>58</v>
      </c>
      <c r="V203" t="s">
        <v>3812</v>
      </c>
      <c r="W203" s="88" t="s">
        <v>4034</v>
      </c>
    </row>
    <row r="204" spans="1:23" ht="14.4">
      <c r="A204" s="7" t="s">
        <v>1490</v>
      </c>
      <c r="B204" t="s">
        <v>1491</v>
      </c>
      <c r="C204" t="s">
        <v>2474</v>
      </c>
      <c r="D204" s="7" t="s">
        <v>2002</v>
      </c>
      <c r="E204" s="7" t="s">
        <v>2003</v>
      </c>
      <c r="F204" s="7" t="s">
        <v>2004</v>
      </c>
      <c r="G204" s="7" t="s">
        <v>2584</v>
      </c>
      <c r="H204" s="85" t="s">
        <v>3033</v>
      </c>
      <c r="I204" s="85" t="s">
        <v>2716</v>
      </c>
      <c r="J204" s="85"/>
      <c r="K204" s="85" t="s">
        <v>16</v>
      </c>
      <c r="L204" s="85">
        <v>5</v>
      </c>
      <c r="M204" s="20">
        <f>Table9[[#This Row],[Rate
(Please Select from the list)]]/5</f>
        <v>1</v>
      </c>
      <c r="N204" s="73">
        <v>2.63</v>
      </c>
      <c r="O204" s="74">
        <f>Table9[[#This Row],[Score %]]*Table9[[#This Row],[Item Weight
(Please Select from the list)]]</f>
        <v>2.63</v>
      </c>
      <c r="P204" s="80">
        <v>4</v>
      </c>
      <c r="Q204" t="s">
        <v>59</v>
      </c>
      <c r="R204"/>
      <c r="S204" t="s">
        <v>57</v>
      </c>
      <c r="T204"/>
      <c r="U204" t="s">
        <v>58</v>
      </c>
      <c r="V204" t="s">
        <v>3851</v>
      </c>
      <c r="W204" s="88" t="s">
        <v>4034</v>
      </c>
    </row>
    <row r="205" spans="1:23" ht="14.4">
      <c r="A205" s="7" t="s">
        <v>1490</v>
      </c>
      <c r="B205" t="s">
        <v>1491</v>
      </c>
      <c r="C205" t="s">
        <v>2474</v>
      </c>
      <c r="D205" s="7" t="s">
        <v>2005</v>
      </c>
      <c r="E205" s="7" t="s">
        <v>2006</v>
      </c>
      <c r="F205" s="7" t="s">
        <v>2007</v>
      </c>
      <c r="G205" s="7" t="s">
        <v>2584</v>
      </c>
      <c r="H205" s="85" t="s">
        <v>3034</v>
      </c>
      <c r="I205" s="85" t="s">
        <v>2748</v>
      </c>
      <c r="J205" s="85"/>
      <c r="K205" s="85" t="s">
        <v>16</v>
      </c>
      <c r="L205" s="85">
        <v>5</v>
      </c>
      <c r="M205" s="20">
        <f>Table9[[#This Row],[Rate
(Please Select from the list)]]/5</f>
        <v>1</v>
      </c>
      <c r="N205" s="73">
        <v>2.63</v>
      </c>
      <c r="O205" s="74">
        <f>Table9[[#This Row],[Score %]]*Table9[[#This Row],[Item Weight
(Please Select from the list)]]</f>
        <v>2.63</v>
      </c>
      <c r="P205" s="80">
        <v>4</v>
      </c>
      <c r="Q205" t="s">
        <v>59</v>
      </c>
      <c r="R205"/>
      <c r="S205" t="s">
        <v>57</v>
      </c>
      <c r="T205"/>
      <c r="U205" t="s">
        <v>58</v>
      </c>
      <c r="V205" t="s">
        <v>3851</v>
      </c>
      <c r="W205" s="88" t="s">
        <v>4034</v>
      </c>
    </row>
    <row r="206" spans="1:23" ht="14.4">
      <c r="A206" s="7" t="s">
        <v>1490</v>
      </c>
      <c r="B206" t="s">
        <v>1491</v>
      </c>
      <c r="C206" t="s">
        <v>2474</v>
      </c>
      <c r="D206" s="7" t="s">
        <v>2008</v>
      </c>
      <c r="E206" s="7" t="s">
        <v>2009</v>
      </c>
      <c r="F206" s="7" t="s">
        <v>2010</v>
      </c>
      <c r="G206" s="7" t="s">
        <v>2584</v>
      </c>
      <c r="H206" s="85" t="s">
        <v>3035</v>
      </c>
      <c r="I206" s="85" t="s">
        <v>2728</v>
      </c>
      <c r="J206" s="85"/>
      <c r="K206" s="85" t="s">
        <v>855</v>
      </c>
      <c r="L206" s="85">
        <v>4</v>
      </c>
      <c r="M206" s="20">
        <f>Table9[[#This Row],[Rate
(Please Select from the list)]]/5</f>
        <v>0.8</v>
      </c>
      <c r="N206" s="73">
        <v>2.63</v>
      </c>
      <c r="O206" s="74">
        <f>Table9[[#This Row],[Score %]]*Table9[[#This Row],[Item Weight
(Please Select from the list)]]</f>
        <v>2.1040000000000001</v>
      </c>
      <c r="P206" s="80">
        <v>4</v>
      </c>
      <c r="Q206" t="s">
        <v>59</v>
      </c>
      <c r="R206"/>
      <c r="S206" t="s">
        <v>43</v>
      </c>
      <c r="T206"/>
      <c r="U206" t="s">
        <v>58</v>
      </c>
      <c r="V206" t="s">
        <v>3812</v>
      </c>
      <c r="W206" s="88" t="s">
        <v>4034</v>
      </c>
    </row>
    <row r="207" spans="1:23" ht="14.4">
      <c r="A207" s="7" t="s">
        <v>1490</v>
      </c>
      <c r="B207" t="s">
        <v>1491</v>
      </c>
      <c r="C207" t="s">
        <v>2474</v>
      </c>
      <c r="D207" s="7" t="s">
        <v>2011</v>
      </c>
      <c r="E207" s="7" t="s">
        <v>2012</v>
      </c>
      <c r="F207" s="7" t="s">
        <v>2013</v>
      </c>
      <c r="G207" s="7" t="s">
        <v>2584</v>
      </c>
      <c r="H207" s="85" t="s">
        <v>3036</v>
      </c>
      <c r="I207" s="85" t="s">
        <v>2739</v>
      </c>
      <c r="J207" s="85"/>
      <c r="K207" s="85" t="s">
        <v>16</v>
      </c>
      <c r="L207" s="85">
        <v>5</v>
      </c>
      <c r="M207" s="20">
        <f>Table9[[#This Row],[Rate
(Please Select from the list)]]/5</f>
        <v>1</v>
      </c>
      <c r="N207" s="73">
        <v>2.63</v>
      </c>
      <c r="O207" s="74">
        <f>Table9[[#This Row],[Score %]]*Table9[[#This Row],[Item Weight
(Please Select from the list)]]</f>
        <v>2.63</v>
      </c>
      <c r="P207" s="80">
        <v>4</v>
      </c>
      <c r="Q207" t="s">
        <v>59</v>
      </c>
      <c r="R207"/>
      <c r="S207" t="s">
        <v>57</v>
      </c>
      <c r="T207"/>
      <c r="U207" t="s">
        <v>44</v>
      </c>
      <c r="V207" t="s">
        <v>3851</v>
      </c>
      <c r="W207" s="88" t="s">
        <v>4034</v>
      </c>
    </row>
    <row r="208" spans="1:23" ht="14.4">
      <c r="A208" s="7" t="s">
        <v>1490</v>
      </c>
      <c r="B208" t="s">
        <v>1491</v>
      </c>
      <c r="C208" t="s">
        <v>2474</v>
      </c>
      <c r="D208" s="7" t="s">
        <v>2014</v>
      </c>
      <c r="E208" s="7" t="s">
        <v>2015</v>
      </c>
      <c r="F208" s="7" t="s">
        <v>2016</v>
      </c>
      <c r="G208" s="7" t="s">
        <v>2584</v>
      </c>
      <c r="H208" s="85" t="s">
        <v>3037</v>
      </c>
      <c r="I208" s="85" t="s">
        <v>2795</v>
      </c>
      <c r="J208" s="85"/>
      <c r="K208" s="85" t="s">
        <v>47</v>
      </c>
      <c r="L208" s="85">
        <v>4</v>
      </c>
      <c r="M208" s="20">
        <f>Table9[[#This Row],[Rate
(Please Select from the list)]]/5</f>
        <v>0.8</v>
      </c>
      <c r="N208" s="73">
        <v>2.63</v>
      </c>
      <c r="O208" s="74">
        <f>Table9[[#This Row],[Score %]]*Table9[[#This Row],[Item Weight
(Please Select from the list)]]</f>
        <v>2.1040000000000001</v>
      </c>
      <c r="P208" s="80">
        <v>4</v>
      </c>
      <c r="Q208" t="s">
        <v>46</v>
      </c>
      <c r="R208"/>
      <c r="S208" t="s">
        <v>43</v>
      </c>
      <c r="T208"/>
      <c r="U208" t="s">
        <v>58</v>
      </c>
      <c r="V208" t="s">
        <v>3812</v>
      </c>
      <c r="W208" s="88" t="s">
        <v>4034</v>
      </c>
    </row>
    <row r="209" spans="1:23" ht="14.4">
      <c r="A209" s="7" t="s">
        <v>1490</v>
      </c>
      <c r="B209" t="s">
        <v>1491</v>
      </c>
      <c r="C209" t="s">
        <v>2474</v>
      </c>
      <c r="D209" s="7" t="s">
        <v>2017</v>
      </c>
      <c r="E209" s="7" t="s">
        <v>2018</v>
      </c>
      <c r="F209" s="7" t="s">
        <v>2019</v>
      </c>
      <c r="G209" s="7" t="s">
        <v>2584</v>
      </c>
      <c r="H209" s="85" t="s">
        <v>3038</v>
      </c>
      <c r="I209" s="85" t="s">
        <v>2754</v>
      </c>
      <c r="J209" s="85"/>
      <c r="K209" s="85" t="s">
        <v>855</v>
      </c>
      <c r="L209" s="85">
        <v>4</v>
      </c>
      <c r="M209" s="20">
        <f>Table9[[#This Row],[Rate
(Please Select from the list)]]/5</f>
        <v>0.8</v>
      </c>
      <c r="N209" s="73">
        <v>2.63</v>
      </c>
      <c r="O209" s="74">
        <f>Table9[[#This Row],[Score %]]*Table9[[#This Row],[Item Weight
(Please Select from the list)]]</f>
        <v>2.1040000000000001</v>
      </c>
      <c r="P209" s="80">
        <v>4</v>
      </c>
      <c r="Q209" t="s">
        <v>59</v>
      </c>
      <c r="R209"/>
      <c r="S209" t="s">
        <v>43</v>
      </c>
      <c r="T209"/>
      <c r="U209" t="s">
        <v>58</v>
      </c>
      <c r="V209" t="s">
        <v>3812</v>
      </c>
      <c r="W209" s="88" t="s">
        <v>4034</v>
      </c>
    </row>
    <row r="210" spans="1:23" ht="14.4">
      <c r="A210" s="7" t="s">
        <v>1490</v>
      </c>
      <c r="B210" t="s">
        <v>1491</v>
      </c>
      <c r="C210" t="s">
        <v>2474</v>
      </c>
      <c r="D210" s="7" t="s">
        <v>2020</v>
      </c>
      <c r="E210" s="7" t="s">
        <v>2021</v>
      </c>
      <c r="F210" s="7" t="s">
        <v>2022</v>
      </c>
      <c r="G210" s="7" t="s">
        <v>2584</v>
      </c>
      <c r="H210" s="85" t="s">
        <v>3039</v>
      </c>
      <c r="I210" s="85" t="s">
        <v>2795</v>
      </c>
      <c r="J210" s="85"/>
      <c r="K210" s="85" t="s">
        <v>16</v>
      </c>
      <c r="L210" s="85">
        <v>4</v>
      </c>
      <c r="M210" s="20">
        <f>Table9[[#This Row],[Rate
(Please Select from the list)]]/5</f>
        <v>0.8</v>
      </c>
      <c r="N210" s="73">
        <v>3.29</v>
      </c>
      <c r="O210" s="74">
        <f>Table9[[#This Row],[Score %]]*Table9[[#This Row],[Item Weight
(Please Select from the list)]]</f>
        <v>2.6320000000000001</v>
      </c>
      <c r="P210" s="80">
        <v>5</v>
      </c>
      <c r="Q210" t="s">
        <v>59</v>
      </c>
      <c r="R210"/>
      <c r="S210" t="s">
        <v>57</v>
      </c>
      <c r="T210"/>
      <c r="U210" t="s">
        <v>44</v>
      </c>
      <c r="V210" t="s">
        <v>3812</v>
      </c>
      <c r="W210" s="88" t="s">
        <v>4034</v>
      </c>
    </row>
    <row r="211" spans="1:23" ht="14.4">
      <c r="A211" s="7" t="s">
        <v>1490</v>
      </c>
      <c r="B211" t="s">
        <v>1491</v>
      </c>
      <c r="C211" t="s">
        <v>2474</v>
      </c>
      <c r="D211" s="7" t="s">
        <v>2023</v>
      </c>
      <c r="E211" s="7" t="s">
        <v>2024</v>
      </c>
      <c r="F211" s="7" t="s">
        <v>2025</v>
      </c>
      <c r="G211" s="7" t="s">
        <v>2584</v>
      </c>
      <c r="H211" s="85" t="s">
        <v>3040</v>
      </c>
      <c r="I211" s="85" t="s">
        <v>2716</v>
      </c>
      <c r="J211" s="85"/>
      <c r="K211" s="85" t="s">
        <v>47</v>
      </c>
      <c r="L211" s="85">
        <v>4</v>
      </c>
      <c r="M211" s="20">
        <f>Table9[[#This Row],[Rate
(Please Select from the list)]]/5</f>
        <v>0.8</v>
      </c>
      <c r="N211" s="73">
        <v>3.29</v>
      </c>
      <c r="O211" s="74">
        <f>Table9[[#This Row],[Score %]]*Table9[[#This Row],[Item Weight
(Please Select from the list)]]</f>
        <v>2.6320000000000001</v>
      </c>
      <c r="P211" s="80">
        <v>5</v>
      </c>
      <c r="Q211" t="s">
        <v>59</v>
      </c>
      <c r="R211"/>
      <c r="S211" t="s">
        <v>57</v>
      </c>
      <c r="T211"/>
      <c r="U211" t="s">
        <v>58</v>
      </c>
      <c r="V211" t="s">
        <v>3812</v>
      </c>
      <c r="W211" s="88" t="s">
        <v>4034</v>
      </c>
    </row>
    <row r="212" spans="1:23" ht="14.4">
      <c r="A212" s="7" t="s">
        <v>1501</v>
      </c>
      <c r="B212" t="s">
        <v>1502</v>
      </c>
      <c r="C212" t="s">
        <v>122</v>
      </c>
      <c r="D212" s="7" t="s">
        <v>2026</v>
      </c>
      <c r="E212" s="7" t="s">
        <v>2027</v>
      </c>
      <c r="F212" s="7" t="s">
        <v>2028</v>
      </c>
      <c r="G212" s="7" t="s">
        <v>2584</v>
      </c>
      <c r="H212" s="85" t="s">
        <v>3041</v>
      </c>
      <c r="I212" s="85" t="s">
        <v>2725</v>
      </c>
      <c r="J212" s="85" t="s">
        <v>3042</v>
      </c>
      <c r="K212" s="85" t="s">
        <v>16</v>
      </c>
      <c r="L212" s="85">
        <v>2</v>
      </c>
      <c r="M212" s="20">
        <f>Table9[[#This Row],[Rate
(Please Select from the list)]]/5</f>
        <v>0.4</v>
      </c>
      <c r="N212" s="73">
        <v>2.54</v>
      </c>
      <c r="O212" s="74">
        <f>Table9[[#This Row],[Score %]]*Table9[[#This Row],[Item Weight
(Please Select from the list)]]</f>
        <v>1.016</v>
      </c>
      <c r="P212" s="80">
        <v>3</v>
      </c>
      <c r="Q212" t="s">
        <v>46</v>
      </c>
      <c r="R212" t="s">
        <v>3904</v>
      </c>
      <c r="S212" t="s">
        <v>29</v>
      </c>
      <c r="T212" s="86">
        <v>45421</v>
      </c>
      <c r="U212" t="s">
        <v>30</v>
      </c>
      <c r="V212" t="s">
        <v>3834</v>
      </c>
      <c r="W212" s="88" t="s">
        <v>4034</v>
      </c>
    </row>
    <row r="213" spans="1:23" ht="14.4">
      <c r="A213" s="7" t="s">
        <v>1501</v>
      </c>
      <c r="B213" t="s">
        <v>1502</v>
      </c>
      <c r="C213" t="s">
        <v>122</v>
      </c>
      <c r="D213" s="7" t="s">
        <v>2029</v>
      </c>
      <c r="E213" s="7" t="s">
        <v>2030</v>
      </c>
      <c r="F213" s="7" t="s">
        <v>2031</v>
      </c>
      <c r="G213" s="7" t="s">
        <v>2584</v>
      </c>
      <c r="H213" s="85" t="s">
        <v>3043</v>
      </c>
      <c r="I213" s="85" t="s">
        <v>2725</v>
      </c>
      <c r="J213" s="85" t="s">
        <v>3044</v>
      </c>
      <c r="K213" s="85" t="s">
        <v>16</v>
      </c>
      <c r="L213" s="85">
        <v>2</v>
      </c>
      <c r="M213" s="20">
        <f>Table9[[#This Row],[Rate
(Please Select from the list)]]/5</f>
        <v>0.4</v>
      </c>
      <c r="N213" s="73">
        <v>2.54</v>
      </c>
      <c r="O213" s="74">
        <f>Table9[[#This Row],[Score %]]*Table9[[#This Row],[Item Weight
(Please Select from the list)]]</f>
        <v>1.016</v>
      </c>
      <c r="P213" s="80">
        <v>3</v>
      </c>
      <c r="Q213" t="s">
        <v>15</v>
      </c>
      <c r="R213" t="s">
        <v>3905</v>
      </c>
      <c r="S213" t="s">
        <v>13</v>
      </c>
      <c r="T213" t="s">
        <v>3820</v>
      </c>
      <c r="U213" t="s">
        <v>30</v>
      </c>
      <c r="V213" t="s">
        <v>3847</v>
      </c>
      <c r="W213" s="88" t="s">
        <v>4034</v>
      </c>
    </row>
    <row r="214" spans="1:23" ht="14.4">
      <c r="A214" s="7" t="s">
        <v>1501</v>
      </c>
      <c r="B214" t="s">
        <v>1502</v>
      </c>
      <c r="C214" t="s">
        <v>122</v>
      </c>
      <c r="D214" s="7" t="s">
        <v>2032</v>
      </c>
      <c r="E214" s="7" t="s">
        <v>2033</v>
      </c>
      <c r="F214" s="7" t="s">
        <v>2034</v>
      </c>
      <c r="G214" s="7" t="s">
        <v>2584</v>
      </c>
      <c r="H214" s="85" t="s">
        <v>3045</v>
      </c>
      <c r="I214" s="85" t="s">
        <v>2736</v>
      </c>
      <c r="J214" s="85"/>
      <c r="K214" s="85" t="s">
        <v>47</v>
      </c>
      <c r="L214" s="85">
        <v>5</v>
      </c>
      <c r="M214" s="20">
        <f>Table9[[#This Row],[Rate
(Please Select from the list)]]/5</f>
        <v>1</v>
      </c>
      <c r="N214" s="73">
        <v>2.54</v>
      </c>
      <c r="O214" s="74">
        <f>Table9[[#This Row],[Score %]]*Table9[[#This Row],[Item Weight
(Please Select from the list)]]</f>
        <v>2.54</v>
      </c>
      <c r="P214" s="80">
        <v>3</v>
      </c>
      <c r="Q214" t="s">
        <v>59</v>
      </c>
      <c r="R214"/>
      <c r="S214" t="s">
        <v>57</v>
      </c>
      <c r="T214"/>
      <c r="U214" t="s">
        <v>44</v>
      </c>
      <c r="V214" t="s">
        <v>3851</v>
      </c>
      <c r="W214" s="88" t="s">
        <v>4034</v>
      </c>
    </row>
    <row r="215" spans="1:23" ht="14.4">
      <c r="A215" s="7" t="s">
        <v>1501</v>
      </c>
      <c r="B215" t="s">
        <v>1502</v>
      </c>
      <c r="C215" t="s">
        <v>122</v>
      </c>
      <c r="D215" s="7" t="s">
        <v>2035</v>
      </c>
      <c r="E215" s="7" t="s">
        <v>2036</v>
      </c>
      <c r="F215" s="7" t="s">
        <v>2037</v>
      </c>
      <c r="G215" s="7" t="s">
        <v>2584</v>
      </c>
      <c r="H215" s="85" t="s">
        <v>3046</v>
      </c>
      <c r="I215" s="85" t="s">
        <v>2739</v>
      </c>
      <c r="J215" s="85"/>
      <c r="K215" s="85" t="s">
        <v>855</v>
      </c>
      <c r="L215" s="85">
        <v>4</v>
      </c>
      <c r="M215" s="20">
        <f>Table9[[#This Row],[Rate
(Please Select from the list)]]/5</f>
        <v>0.8</v>
      </c>
      <c r="N215" s="73">
        <v>2.54</v>
      </c>
      <c r="O215" s="74">
        <f>Table9[[#This Row],[Score %]]*Table9[[#This Row],[Item Weight
(Please Select from the list)]]</f>
        <v>2.032</v>
      </c>
      <c r="P215" s="80">
        <v>3</v>
      </c>
      <c r="Q215" t="s">
        <v>46</v>
      </c>
      <c r="R215"/>
      <c r="S215" t="s">
        <v>57</v>
      </c>
      <c r="T215"/>
      <c r="U215" t="s">
        <v>44</v>
      </c>
      <c r="V215" t="s">
        <v>3812</v>
      </c>
      <c r="W215" s="88" t="s">
        <v>4034</v>
      </c>
    </row>
    <row r="216" spans="1:23" ht="14.4">
      <c r="A216" s="7" t="s">
        <v>1501</v>
      </c>
      <c r="B216" t="s">
        <v>1502</v>
      </c>
      <c r="C216" t="s">
        <v>122</v>
      </c>
      <c r="D216" s="7" t="s">
        <v>2038</v>
      </c>
      <c r="E216" s="7" t="s">
        <v>2039</v>
      </c>
      <c r="F216" s="7" t="s">
        <v>2040</v>
      </c>
      <c r="G216" s="7" t="s">
        <v>2584</v>
      </c>
      <c r="H216" s="85" t="s">
        <v>3047</v>
      </c>
      <c r="I216" s="85" t="s">
        <v>2728</v>
      </c>
      <c r="J216" s="85"/>
      <c r="K216" s="85" t="s">
        <v>16</v>
      </c>
      <c r="L216" s="85">
        <v>4</v>
      </c>
      <c r="M216" s="20">
        <f>Table9[[#This Row],[Rate
(Please Select from the list)]]/5</f>
        <v>0.8</v>
      </c>
      <c r="N216" s="73">
        <v>2.54</v>
      </c>
      <c r="O216" s="74">
        <f>Table9[[#This Row],[Score %]]*Table9[[#This Row],[Item Weight
(Please Select from the list)]]</f>
        <v>2.032</v>
      </c>
      <c r="P216" s="80">
        <v>3</v>
      </c>
      <c r="Q216" t="s">
        <v>31</v>
      </c>
      <c r="R216"/>
      <c r="S216" t="s">
        <v>57</v>
      </c>
      <c r="T216"/>
      <c r="U216" t="s">
        <v>44</v>
      </c>
      <c r="V216" t="s">
        <v>3812</v>
      </c>
      <c r="W216" s="88" t="s">
        <v>4034</v>
      </c>
    </row>
    <row r="217" spans="1:23" ht="14.4">
      <c r="A217" s="7" t="s">
        <v>1501</v>
      </c>
      <c r="B217" t="s">
        <v>1502</v>
      </c>
      <c r="C217" t="s">
        <v>122</v>
      </c>
      <c r="D217" s="7" t="s">
        <v>2041</v>
      </c>
      <c r="E217" s="7" t="s">
        <v>2042</v>
      </c>
      <c r="F217" s="7" t="s">
        <v>2043</v>
      </c>
      <c r="G217" s="7" t="s">
        <v>2584</v>
      </c>
      <c r="H217" s="85" t="s">
        <v>3048</v>
      </c>
      <c r="I217" s="85" t="s">
        <v>2725</v>
      </c>
      <c r="J217" s="85"/>
      <c r="K217" s="85" t="s">
        <v>47</v>
      </c>
      <c r="L217" s="85">
        <v>4</v>
      </c>
      <c r="M217" s="20">
        <f>Table9[[#This Row],[Rate
(Please Select from the list)]]/5</f>
        <v>0.8</v>
      </c>
      <c r="N217" s="73">
        <v>2.54</v>
      </c>
      <c r="O217" s="74">
        <f>Table9[[#This Row],[Score %]]*Table9[[#This Row],[Item Weight
(Please Select from the list)]]</f>
        <v>2.032</v>
      </c>
      <c r="P217" s="80">
        <v>3</v>
      </c>
      <c r="Q217" t="s">
        <v>59</v>
      </c>
      <c r="R217"/>
      <c r="S217" t="s">
        <v>57</v>
      </c>
      <c r="T217"/>
      <c r="U217" t="s">
        <v>44</v>
      </c>
      <c r="V217" t="s">
        <v>3812</v>
      </c>
      <c r="W217" s="88" t="s">
        <v>4034</v>
      </c>
    </row>
    <row r="218" spans="1:23" ht="14.4">
      <c r="A218" s="7" t="s">
        <v>1501</v>
      </c>
      <c r="B218" t="s">
        <v>1502</v>
      </c>
      <c r="C218" t="s">
        <v>122</v>
      </c>
      <c r="D218" s="7" t="s">
        <v>2044</v>
      </c>
      <c r="E218" s="7" t="s">
        <v>2045</v>
      </c>
      <c r="F218" s="7" t="s">
        <v>2046</v>
      </c>
      <c r="G218" s="7" t="s">
        <v>2584</v>
      </c>
      <c r="H218" s="85" t="s">
        <v>3049</v>
      </c>
      <c r="I218" s="85" t="s">
        <v>2728</v>
      </c>
      <c r="J218" s="85" t="s">
        <v>3050</v>
      </c>
      <c r="K218" s="85" t="s">
        <v>16</v>
      </c>
      <c r="L218" s="85">
        <v>2</v>
      </c>
      <c r="M218" s="20">
        <f>Table9[[#This Row],[Rate
(Please Select from the list)]]/5</f>
        <v>0.4</v>
      </c>
      <c r="N218" s="73">
        <v>2.54</v>
      </c>
      <c r="O218" s="74">
        <f>Table9[[#This Row],[Score %]]*Table9[[#This Row],[Item Weight
(Please Select from the list)]]</f>
        <v>1.016</v>
      </c>
      <c r="P218" s="80">
        <v>3</v>
      </c>
      <c r="Q218" t="s">
        <v>46</v>
      </c>
      <c r="R218" t="s">
        <v>3906</v>
      </c>
      <c r="S218" t="s">
        <v>13</v>
      </c>
      <c r="T218" t="s">
        <v>3820</v>
      </c>
      <c r="U218" t="s">
        <v>30</v>
      </c>
      <c r="V218" t="s">
        <v>3823</v>
      </c>
      <c r="W218" s="88" t="s">
        <v>4034</v>
      </c>
    </row>
    <row r="219" spans="1:23" ht="14.4">
      <c r="A219" s="7" t="s">
        <v>1501</v>
      </c>
      <c r="B219" t="s">
        <v>1502</v>
      </c>
      <c r="C219" t="s">
        <v>122</v>
      </c>
      <c r="D219" s="7" t="s">
        <v>2047</v>
      </c>
      <c r="E219" s="7" t="s">
        <v>2048</v>
      </c>
      <c r="F219" s="7" t="s">
        <v>2049</v>
      </c>
      <c r="G219" s="7" t="s">
        <v>2584</v>
      </c>
      <c r="H219" s="85" t="s">
        <v>3051</v>
      </c>
      <c r="I219" s="85" t="s">
        <v>2716</v>
      </c>
      <c r="J219" s="85"/>
      <c r="K219" s="85" t="s">
        <v>47</v>
      </c>
      <c r="L219" s="85">
        <v>4</v>
      </c>
      <c r="M219" s="20">
        <f>Table9[[#This Row],[Rate
(Please Select from the list)]]/5</f>
        <v>0.8</v>
      </c>
      <c r="N219" s="73">
        <v>2.54</v>
      </c>
      <c r="O219" s="74">
        <f>Table9[[#This Row],[Score %]]*Table9[[#This Row],[Item Weight
(Please Select from the list)]]</f>
        <v>2.032</v>
      </c>
      <c r="P219" s="80">
        <v>3</v>
      </c>
      <c r="Q219" t="s">
        <v>15</v>
      </c>
      <c r="R219"/>
      <c r="S219" t="s">
        <v>57</v>
      </c>
      <c r="T219"/>
      <c r="U219" t="s">
        <v>44</v>
      </c>
      <c r="V219" t="s">
        <v>3812</v>
      </c>
      <c r="W219" s="88" t="s">
        <v>4034</v>
      </c>
    </row>
    <row r="220" spans="1:23" ht="14.4">
      <c r="A220" s="7" t="s">
        <v>1501</v>
      </c>
      <c r="B220" t="s">
        <v>1502</v>
      </c>
      <c r="C220" t="s">
        <v>122</v>
      </c>
      <c r="D220" s="7" t="s">
        <v>2050</v>
      </c>
      <c r="E220" s="7" t="s">
        <v>2051</v>
      </c>
      <c r="F220" s="7" t="s">
        <v>2052</v>
      </c>
      <c r="G220" s="7" t="s">
        <v>2584</v>
      </c>
      <c r="H220" s="85" t="s">
        <v>3052</v>
      </c>
      <c r="I220" s="85" t="s">
        <v>2728</v>
      </c>
      <c r="J220" s="85" t="s">
        <v>3053</v>
      </c>
      <c r="K220" s="85" t="s">
        <v>16</v>
      </c>
      <c r="L220" s="85">
        <v>3</v>
      </c>
      <c r="M220" s="20">
        <f>Table9[[#This Row],[Rate
(Please Select from the list)]]/5</f>
        <v>0.6</v>
      </c>
      <c r="N220" s="73">
        <v>2.54</v>
      </c>
      <c r="O220" s="74">
        <f>Table9[[#This Row],[Score %]]*Table9[[#This Row],[Item Weight
(Please Select from the list)]]</f>
        <v>1.524</v>
      </c>
      <c r="P220" s="80">
        <v>3</v>
      </c>
      <c r="Q220" t="s">
        <v>46</v>
      </c>
      <c r="R220" t="s">
        <v>3907</v>
      </c>
      <c r="S220" t="s">
        <v>29</v>
      </c>
      <c r="T220" s="86">
        <v>45421</v>
      </c>
      <c r="U220" t="s">
        <v>14</v>
      </c>
      <c r="V220" t="s">
        <v>3815</v>
      </c>
      <c r="W220" s="88" t="s">
        <v>4034</v>
      </c>
    </row>
    <row r="221" spans="1:23" ht="14.4">
      <c r="A221" s="7" t="s">
        <v>1501</v>
      </c>
      <c r="B221" t="s">
        <v>1502</v>
      </c>
      <c r="C221" t="s">
        <v>122</v>
      </c>
      <c r="D221" s="7" t="s">
        <v>2053</v>
      </c>
      <c r="E221" s="7" t="s">
        <v>2054</v>
      </c>
      <c r="F221" s="7" t="s">
        <v>2055</v>
      </c>
      <c r="G221" s="7" t="s">
        <v>2584</v>
      </c>
      <c r="H221" s="85" t="s">
        <v>3054</v>
      </c>
      <c r="I221" s="85" t="s">
        <v>2754</v>
      </c>
      <c r="J221" s="85" t="s">
        <v>3055</v>
      </c>
      <c r="K221" s="85" t="s">
        <v>16</v>
      </c>
      <c r="L221" s="85">
        <v>2</v>
      </c>
      <c r="M221" s="20">
        <f>Table9[[#This Row],[Rate
(Please Select from the list)]]/5</f>
        <v>0.4</v>
      </c>
      <c r="N221" s="73">
        <v>2.54</v>
      </c>
      <c r="O221" s="74">
        <f>Table9[[#This Row],[Score %]]*Table9[[#This Row],[Item Weight
(Please Select from the list)]]</f>
        <v>1.016</v>
      </c>
      <c r="P221" s="80">
        <v>3</v>
      </c>
      <c r="Q221" t="s">
        <v>46</v>
      </c>
      <c r="R221" t="s">
        <v>3908</v>
      </c>
      <c r="S221" t="s">
        <v>29</v>
      </c>
      <c r="T221" s="86">
        <v>45421</v>
      </c>
      <c r="U221" t="s">
        <v>30</v>
      </c>
      <c r="V221" t="s">
        <v>3831</v>
      </c>
      <c r="W221" s="88" t="s">
        <v>4034</v>
      </c>
    </row>
    <row r="222" spans="1:23" ht="14.4">
      <c r="A222" s="7" t="s">
        <v>1501</v>
      </c>
      <c r="B222" t="s">
        <v>1502</v>
      </c>
      <c r="C222" t="s">
        <v>122</v>
      </c>
      <c r="D222" s="7" t="s">
        <v>2056</v>
      </c>
      <c r="E222" s="7" t="s">
        <v>2057</v>
      </c>
      <c r="F222" s="7" t="s">
        <v>2058</v>
      </c>
      <c r="G222" s="7" t="s">
        <v>2584</v>
      </c>
      <c r="H222" s="85" t="s">
        <v>3056</v>
      </c>
      <c r="I222" s="85" t="s">
        <v>2728</v>
      </c>
      <c r="J222" s="85"/>
      <c r="K222" s="85" t="s">
        <v>855</v>
      </c>
      <c r="L222" s="85">
        <v>4</v>
      </c>
      <c r="M222" s="20">
        <f>Table9[[#This Row],[Rate
(Please Select from the list)]]/5</f>
        <v>0.8</v>
      </c>
      <c r="N222" s="73">
        <v>2.54</v>
      </c>
      <c r="O222" s="74">
        <f>Table9[[#This Row],[Score %]]*Table9[[#This Row],[Item Weight
(Please Select from the list)]]</f>
        <v>2.032</v>
      </c>
      <c r="P222" s="80">
        <v>3</v>
      </c>
      <c r="Q222" t="s">
        <v>46</v>
      </c>
      <c r="R222"/>
      <c r="S222" t="s">
        <v>57</v>
      </c>
      <c r="T222"/>
      <c r="U222" t="s">
        <v>58</v>
      </c>
      <c r="V222" t="s">
        <v>3812</v>
      </c>
      <c r="W222" s="88" t="s">
        <v>4034</v>
      </c>
    </row>
    <row r="223" spans="1:23" ht="14.4">
      <c r="A223" s="7" t="s">
        <v>1501</v>
      </c>
      <c r="B223" t="s">
        <v>1502</v>
      </c>
      <c r="C223" t="s">
        <v>122</v>
      </c>
      <c r="D223" s="7" t="s">
        <v>2059</v>
      </c>
      <c r="E223" s="7" t="s">
        <v>2060</v>
      </c>
      <c r="F223" s="7" t="s">
        <v>2061</v>
      </c>
      <c r="G223" s="7" t="s">
        <v>2584</v>
      </c>
      <c r="H223" s="85" t="s">
        <v>3057</v>
      </c>
      <c r="I223" s="85" t="s">
        <v>2795</v>
      </c>
      <c r="J223" s="85" t="s">
        <v>3058</v>
      </c>
      <c r="K223" s="85" t="s">
        <v>16</v>
      </c>
      <c r="L223" s="85">
        <v>3</v>
      </c>
      <c r="M223" s="20">
        <f>Table9[[#This Row],[Rate
(Please Select from the list)]]/5</f>
        <v>0.6</v>
      </c>
      <c r="N223" s="73">
        <v>4.24</v>
      </c>
      <c r="O223" s="74">
        <f>Table9[[#This Row],[Score %]]*Table9[[#This Row],[Item Weight
(Please Select from the list)]]</f>
        <v>2.544</v>
      </c>
      <c r="P223" s="80">
        <v>5</v>
      </c>
      <c r="Q223" t="s">
        <v>59</v>
      </c>
      <c r="R223" t="s">
        <v>3909</v>
      </c>
      <c r="S223" t="s">
        <v>43</v>
      </c>
      <c r="T223" t="s">
        <v>3844</v>
      </c>
      <c r="U223" t="s">
        <v>30</v>
      </c>
      <c r="V223" t="s">
        <v>3813</v>
      </c>
      <c r="W223" s="88" t="s">
        <v>4034</v>
      </c>
    </row>
    <row r="224" spans="1:23" ht="14.4">
      <c r="A224" s="7" t="s">
        <v>1501</v>
      </c>
      <c r="B224" t="s">
        <v>1502</v>
      </c>
      <c r="C224" t="s">
        <v>122</v>
      </c>
      <c r="D224" s="7" t="s">
        <v>2062</v>
      </c>
      <c r="E224" s="7" t="s">
        <v>2063</v>
      </c>
      <c r="F224" s="7" t="s">
        <v>2064</v>
      </c>
      <c r="G224" s="7" t="s">
        <v>2584</v>
      </c>
      <c r="H224" s="85" t="s">
        <v>3059</v>
      </c>
      <c r="I224" s="85" t="s">
        <v>2736</v>
      </c>
      <c r="J224" s="85" t="s">
        <v>3060</v>
      </c>
      <c r="K224" s="85" t="s">
        <v>16</v>
      </c>
      <c r="L224" s="85">
        <v>3</v>
      </c>
      <c r="M224" s="20">
        <f>Table9[[#This Row],[Rate
(Please Select from the list)]]/5</f>
        <v>0.6</v>
      </c>
      <c r="N224" s="73">
        <v>2.54</v>
      </c>
      <c r="O224" s="74">
        <f>Table9[[#This Row],[Score %]]*Table9[[#This Row],[Item Weight
(Please Select from the list)]]</f>
        <v>1.524</v>
      </c>
      <c r="P224" s="80">
        <v>3</v>
      </c>
      <c r="Q224" t="s">
        <v>46</v>
      </c>
      <c r="R224"/>
      <c r="S224" t="s">
        <v>43</v>
      </c>
      <c r="T224"/>
      <c r="U224" t="s">
        <v>58</v>
      </c>
      <c r="V224" t="s">
        <v>3815</v>
      </c>
      <c r="W224" s="88" t="s">
        <v>4034</v>
      </c>
    </row>
    <row r="225" spans="1:23" ht="14.4">
      <c r="A225" s="7" t="s">
        <v>1501</v>
      </c>
      <c r="B225" t="s">
        <v>1502</v>
      </c>
      <c r="C225" t="s">
        <v>122</v>
      </c>
      <c r="D225" s="7" t="s">
        <v>2065</v>
      </c>
      <c r="E225" s="7" t="s">
        <v>2066</v>
      </c>
      <c r="F225" s="7" t="s">
        <v>2067</v>
      </c>
      <c r="G225" s="7" t="s">
        <v>2584</v>
      </c>
      <c r="H225" s="85" t="s">
        <v>3061</v>
      </c>
      <c r="I225" s="85" t="s">
        <v>2718</v>
      </c>
      <c r="J225" s="85" t="s">
        <v>3062</v>
      </c>
      <c r="K225" s="85" t="s">
        <v>16</v>
      </c>
      <c r="L225" s="85">
        <v>0</v>
      </c>
      <c r="M225" s="20">
        <f>Table9[[#This Row],[Rate
(Please Select from the list)]]/5</f>
        <v>0</v>
      </c>
      <c r="N225" s="73">
        <v>2.54</v>
      </c>
      <c r="O225" s="74">
        <f>Table9[[#This Row],[Score %]]*Table9[[#This Row],[Item Weight
(Please Select from the list)]]</f>
        <v>0</v>
      </c>
      <c r="P225" s="80">
        <v>3</v>
      </c>
      <c r="Q225" t="s">
        <v>15</v>
      </c>
      <c r="R225"/>
      <c r="S225" t="s">
        <v>3828</v>
      </c>
      <c r="T225"/>
      <c r="U225" t="s">
        <v>45</v>
      </c>
      <c r="V225" t="s">
        <v>3829</v>
      </c>
      <c r="W225" s="88" t="s">
        <v>4034</v>
      </c>
    </row>
    <row r="226" spans="1:23" ht="14.4">
      <c r="A226" s="7" t="s">
        <v>1501</v>
      </c>
      <c r="B226" t="s">
        <v>1502</v>
      </c>
      <c r="C226" t="s">
        <v>122</v>
      </c>
      <c r="D226" s="7" t="s">
        <v>2068</v>
      </c>
      <c r="E226" s="7" t="s">
        <v>2069</v>
      </c>
      <c r="F226" s="7" t="s">
        <v>2070</v>
      </c>
      <c r="G226" s="7" t="s">
        <v>2584</v>
      </c>
      <c r="H226" s="85" t="s">
        <v>3063</v>
      </c>
      <c r="I226" s="85" t="s">
        <v>2718</v>
      </c>
      <c r="J226" s="85" t="s">
        <v>3064</v>
      </c>
      <c r="K226" s="85" t="s">
        <v>16</v>
      </c>
      <c r="L226" s="85">
        <v>3</v>
      </c>
      <c r="M226" s="20">
        <f>Table9[[#This Row],[Rate
(Please Select from the list)]]/5</f>
        <v>0.6</v>
      </c>
      <c r="N226" s="73">
        <v>2.54</v>
      </c>
      <c r="O226" s="74">
        <f>Table9[[#This Row],[Score %]]*Table9[[#This Row],[Item Weight
(Please Select from the list)]]</f>
        <v>1.524</v>
      </c>
      <c r="P226" s="80">
        <v>3</v>
      </c>
      <c r="Q226" t="s">
        <v>15</v>
      </c>
      <c r="R226"/>
      <c r="S226" t="s">
        <v>43</v>
      </c>
      <c r="T226"/>
      <c r="U226" t="s">
        <v>58</v>
      </c>
      <c r="V226" t="s">
        <v>3825</v>
      </c>
      <c r="W226" s="88" t="s">
        <v>4034</v>
      </c>
    </row>
    <row r="227" spans="1:23" ht="14.4">
      <c r="A227" s="7" t="s">
        <v>1501</v>
      </c>
      <c r="B227" t="s">
        <v>1502</v>
      </c>
      <c r="C227" t="s">
        <v>122</v>
      </c>
      <c r="D227" s="7" t="s">
        <v>2071</v>
      </c>
      <c r="E227" s="7" t="s">
        <v>2072</v>
      </c>
      <c r="F227" s="7" t="s">
        <v>2073</v>
      </c>
      <c r="G227" s="7" t="s">
        <v>2584</v>
      </c>
      <c r="H227" s="85" t="s">
        <v>3065</v>
      </c>
      <c r="I227" s="85" t="s">
        <v>2739</v>
      </c>
      <c r="J227" s="85" t="s">
        <v>3066</v>
      </c>
      <c r="K227" s="85" t="s">
        <v>16</v>
      </c>
      <c r="L227" s="85">
        <v>2</v>
      </c>
      <c r="M227" s="20">
        <f>Table9[[#This Row],[Rate
(Please Select from the list)]]/5</f>
        <v>0.4</v>
      </c>
      <c r="N227" s="73">
        <v>2.54</v>
      </c>
      <c r="O227" s="74">
        <f>Table9[[#This Row],[Score %]]*Table9[[#This Row],[Item Weight
(Please Select from the list)]]</f>
        <v>1.016</v>
      </c>
      <c r="P227" s="80">
        <v>3</v>
      </c>
      <c r="Q227" t="s">
        <v>15</v>
      </c>
      <c r="R227" t="s">
        <v>3910</v>
      </c>
      <c r="S227" t="s">
        <v>29</v>
      </c>
      <c r="T227" s="86">
        <v>45421</v>
      </c>
      <c r="U227" t="s">
        <v>30</v>
      </c>
      <c r="V227" t="s">
        <v>3823</v>
      </c>
      <c r="W227" s="88" t="s">
        <v>4034</v>
      </c>
    </row>
    <row r="228" spans="1:23" ht="14.4">
      <c r="A228" s="7" t="s">
        <v>1501</v>
      </c>
      <c r="B228" t="s">
        <v>1502</v>
      </c>
      <c r="C228" t="s">
        <v>122</v>
      </c>
      <c r="D228" s="7" t="s">
        <v>2074</v>
      </c>
      <c r="E228" s="7" t="s">
        <v>2075</v>
      </c>
      <c r="F228" s="7" t="s">
        <v>2076</v>
      </c>
      <c r="G228" s="7" t="s">
        <v>2584</v>
      </c>
      <c r="H228" s="85" t="s">
        <v>3067</v>
      </c>
      <c r="I228" s="85" t="s">
        <v>2754</v>
      </c>
      <c r="J228" s="85" t="s">
        <v>3068</v>
      </c>
      <c r="K228" s="85" t="s">
        <v>16</v>
      </c>
      <c r="L228" s="85">
        <v>3</v>
      </c>
      <c r="M228" s="20">
        <f>Table9[[#This Row],[Rate
(Please Select from the list)]]/5</f>
        <v>0.6</v>
      </c>
      <c r="N228" s="73">
        <v>4.24</v>
      </c>
      <c r="O228" s="74">
        <f>Table9[[#This Row],[Score %]]*Table9[[#This Row],[Item Weight
(Please Select from the list)]]</f>
        <v>2.544</v>
      </c>
      <c r="P228" s="80">
        <v>5</v>
      </c>
      <c r="Q228" t="s">
        <v>15</v>
      </c>
      <c r="R228"/>
      <c r="S228" t="s">
        <v>43</v>
      </c>
      <c r="T228"/>
      <c r="U228" t="s">
        <v>44</v>
      </c>
      <c r="V228" t="s">
        <v>3825</v>
      </c>
      <c r="W228" s="88" t="s">
        <v>4034</v>
      </c>
    </row>
    <row r="229" spans="1:23" ht="14.4">
      <c r="A229" s="7" t="s">
        <v>1501</v>
      </c>
      <c r="B229" t="s">
        <v>1502</v>
      </c>
      <c r="C229" t="s">
        <v>122</v>
      </c>
      <c r="D229" s="7" t="s">
        <v>2077</v>
      </c>
      <c r="E229" s="7" t="s">
        <v>2078</v>
      </c>
      <c r="F229" s="7" t="s">
        <v>2079</v>
      </c>
      <c r="G229" s="7" t="s">
        <v>2584</v>
      </c>
      <c r="H229" s="85" t="s">
        <v>3069</v>
      </c>
      <c r="I229" s="85" t="s">
        <v>2728</v>
      </c>
      <c r="J229" s="85" t="s">
        <v>3070</v>
      </c>
      <c r="K229" s="85" t="s">
        <v>16</v>
      </c>
      <c r="L229" s="85">
        <v>2</v>
      </c>
      <c r="M229" s="20">
        <f>Table9[[#This Row],[Rate
(Please Select from the list)]]/5</f>
        <v>0.4</v>
      </c>
      <c r="N229" s="73">
        <v>4.24</v>
      </c>
      <c r="O229" s="74">
        <f>Table9[[#This Row],[Score %]]*Table9[[#This Row],[Item Weight
(Please Select from the list)]]</f>
        <v>1.6960000000000002</v>
      </c>
      <c r="P229" s="80">
        <v>5</v>
      </c>
      <c r="Q229" t="s">
        <v>15</v>
      </c>
      <c r="R229"/>
      <c r="S229" t="s">
        <v>29</v>
      </c>
      <c r="T229"/>
      <c r="U229" t="s">
        <v>44</v>
      </c>
      <c r="V229" t="s">
        <v>3859</v>
      </c>
      <c r="W229" s="88" t="s">
        <v>4034</v>
      </c>
    </row>
    <row r="230" spans="1:23" ht="14.4">
      <c r="A230" s="7" t="s">
        <v>1501</v>
      </c>
      <c r="B230" t="s">
        <v>1502</v>
      </c>
      <c r="C230" t="s">
        <v>122</v>
      </c>
      <c r="D230" s="7" t="s">
        <v>2080</v>
      </c>
      <c r="E230" s="7" t="s">
        <v>2081</v>
      </c>
      <c r="F230" s="7" t="s">
        <v>2082</v>
      </c>
      <c r="G230" s="7" t="s">
        <v>2584</v>
      </c>
      <c r="H230" s="85" t="s">
        <v>3071</v>
      </c>
      <c r="I230" s="85" t="s">
        <v>2748</v>
      </c>
      <c r="J230" s="85" t="s">
        <v>3072</v>
      </c>
      <c r="K230" s="85" t="s">
        <v>16</v>
      </c>
      <c r="L230" s="85">
        <v>3</v>
      </c>
      <c r="M230" s="20">
        <f>Table9[[#This Row],[Rate
(Please Select from the list)]]/5</f>
        <v>0.6</v>
      </c>
      <c r="N230" s="73">
        <v>2.54</v>
      </c>
      <c r="O230" s="74">
        <f>Table9[[#This Row],[Score %]]*Table9[[#This Row],[Item Weight
(Please Select from the list)]]</f>
        <v>1.524</v>
      </c>
      <c r="P230" s="80">
        <v>3</v>
      </c>
      <c r="Q230" t="s">
        <v>59</v>
      </c>
      <c r="R230"/>
      <c r="S230" t="s">
        <v>43</v>
      </c>
      <c r="T230"/>
      <c r="U230" t="s">
        <v>58</v>
      </c>
      <c r="V230" t="s">
        <v>3825</v>
      </c>
      <c r="W230" s="88" t="s">
        <v>4034</v>
      </c>
    </row>
    <row r="231" spans="1:23" ht="14.4">
      <c r="A231" s="7" t="s">
        <v>1501</v>
      </c>
      <c r="B231" t="s">
        <v>1502</v>
      </c>
      <c r="C231" t="s">
        <v>122</v>
      </c>
      <c r="D231" s="7" t="s">
        <v>2083</v>
      </c>
      <c r="E231" s="7" t="s">
        <v>2084</v>
      </c>
      <c r="F231" s="7" t="s">
        <v>2085</v>
      </c>
      <c r="G231" s="7" t="s">
        <v>2584</v>
      </c>
      <c r="H231" s="85" t="s">
        <v>3073</v>
      </c>
      <c r="I231" s="85" t="s">
        <v>2731</v>
      </c>
      <c r="J231" s="85" t="s">
        <v>3074</v>
      </c>
      <c r="K231" s="85" t="s">
        <v>16</v>
      </c>
      <c r="L231" s="85">
        <v>3</v>
      </c>
      <c r="M231" s="20">
        <f>Table9[[#This Row],[Rate
(Please Select from the list)]]/5</f>
        <v>0.6</v>
      </c>
      <c r="N231" s="73">
        <v>2.54</v>
      </c>
      <c r="O231" s="74">
        <f>Table9[[#This Row],[Score %]]*Table9[[#This Row],[Item Weight
(Please Select from the list)]]</f>
        <v>1.524</v>
      </c>
      <c r="P231" s="80">
        <v>3</v>
      </c>
      <c r="Q231" t="s">
        <v>15</v>
      </c>
      <c r="R231" t="s">
        <v>3911</v>
      </c>
      <c r="S231" t="s">
        <v>29</v>
      </c>
      <c r="T231" s="86">
        <v>45421</v>
      </c>
      <c r="U231" t="s">
        <v>14</v>
      </c>
      <c r="V231" t="s">
        <v>3813</v>
      </c>
      <c r="W231" s="88" t="s">
        <v>4034</v>
      </c>
    </row>
    <row r="232" spans="1:23" ht="14.4">
      <c r="A232" s="7" t="s">
        <v>1501</v>
      </c>
      <c r="B232" t="s">
        <v>1502</v>
      </c>
      <c r="C232" t="s">
        <v>122</v>
      </c>
      <c r="D232" s="7" t="s">
        <v>2086</v>
      </c>
      <c r="E232" s="7" t="s">
        <v>2087</v>
      </c>
      <c r="F232" s="7" t="s">
        <v>2088</v>
      </c>
      <c r="G232" s="7" t="s">
        <v>2584</v>
      </c>
      <c r="H232" s="85" t="s">
        <v>3075</v>
      </c>
      <c r="I232" s="85" t="s">
        <v>2716</v>
      </c>
      <c r="J232" s="85" t="s">
        <v>3076</v>
      </c>
      <c r="K232" s="85" t="s">
        <v>16</v>
      </c>
      <c r="L232" s="85">
        <v>3</v>
      </c>
      <c r="M232" s="20">
        <f>Table9[[#This Row],[Rate
(Please Select from the list)]]/5</f>
        <v>0.6</v>
      </c>
      <c r="N232" s="73">
        <v>3.39</v>
      </c>
      <c r="O232" s="74">
        <f>Table9[[#This Row],[Score %]]*Table9[[#This Row],[Item Weight
(Please Select from the list)]]</f>
        <v>2.0339999999999998</v>
      </c>
      <c r="P232" s="80">
        <v>4</v>
      </c>
      <c r="Q232" t="s">
        <v>59</v>
      </c>
      <c r="R232"/>
      <c r="S232" t="s">
        <v>43</v>
      </c>
      <c r="T232"/>
      <c r="U232" t="s">
        <v>58</v>
      </c>
      <c r="V232" t="s">
        <v>3825</v>
      </c>
      <c r="W232" s="88" t="s">
        <v>4034</v>
      </c>
    </row>
    <row r="233" spans="1:23" ht="14.4">
      <c r="A233" s="7" t="s">
        <v>1501</v>
      </c>
      <c r="B233" t="s">
        <v>1502</v>
      </c>
      <c r="C233" t="s">
        <v>122</v>
      </c>
      <c r="D233" s="7" t="s">
        <v>2089</v>
      </c>
      <c r="E233" s="7" t="s">
        <v>2090</v>
      </c>
      <c r="F233" s="7" t="s">
        <v>2091</v>
      </c>
      <c r="G233" s="7" t="s">
        <v>2584</v>
      </c>
      <c r="H233" s="85" t="s">
        <v>3077</v>
      </c>
      <c r="I233" s="85" t="s">
        <v>2736</v>
      </c>
      <c r="J233" s="85"/>
      <c r="K233" s="85" t="s">
        <v>16</v>
      </c>
      <c r="L233" s="85">
        <v>4</v>
      </c>
      <c r="M233" s="20">
        <f>Table9[[#This Row],[Rate
(Please Select from the list)]]/5</f>
        <v>0.8</v>
      </c>
      <c r="N233" s="73">
        <v>2.54</v>
      </c>
      <c r="O233" s="74">
        <f>Table9[[#This Row],[Score %]]*Table9[[#This Row],[Item Weight
(Please Select from the list)]]</f>
        <v>2.032</v>
      </c>
      <c r="P233" s="80">
        <v>3</v>
      </c>
      <c r="Q233" t="s">
        <v>59</v>
      </c>
      <c r="R233"/>
      <c r="S233" t="s">
        <v>57</v>
      </c>
      <c r="T233"/>
      <c r="U233" t="s">
        <v>44</v>
      </c>
      <c r="V233" t="s">
        <v>3812</v>
      </c>
      <c r="W233" s="88" t="s">
        <v>4034</v>
      </c>
    </row>
    <row r="234" spans="1:23" ht="14.4">
      <c r="A234" s="7" t="s">
        <v>1501</v>
      </c>
      <c r="B234" t="s">
        <v>1502</v>
      </c>
      <c r="C234" t="s">
        <v>122</v>
      </c>
      <c r="D234" s="7" t="s">
        <v>2092</v>
      </c>
      <c r="E234" s="7" t="s">
        <v>2093</v>
      </c>
      <c r="F234" s="7" t="s">
        <v>2094</v>
      </c>
      <c r="G234" s="7" t="s">
        <v>2584</v>
      </c>
      <c r="H234" s="85" t="s">
        <v>3078</v>
      </c>
      <c r="I234" s="85" t="s">
        <v>2718</v>
      </c>
      <c r="J234" s="85" t="s">
        <v>3079</v>
      </c>
      <c r="K234" s="85" t="s">
        <v>16</v>
      </c>
      <c r="L234" s="85">
        <v>2</v>
      </c>
      <c r="M234" s="20">
        <f>Table9[[#This Row],[Rate
(Please Select from the list)]]/5</f>
        <v>0.4</v>
      </c>
      <c r="N234" s="73">
        <v>2.54</v>
      </c>
      <c r="O234" s="74">
        <f>Table9[[#This Row],[Score %]]*Table9[[#This Row],[Item Weight
(Please Select from the list)]]</f>
        <v>1.016</v>
      </c>
      <c r="P234" s="80">
        <v>3</v>
      </c>
      <c r="Q234" t="s">
        <v>31</v>
      </c>
      <c r="R234" t="s">
        <v>3912</v>
      </c>
      <c r="S234" t="s">
        <v>13</v>
      </c>
      <c r="T234" t="s">
        <v>3820</v>
      </c>
      <c r="U234" t="s">
        <v>30</v>
      </c>
      <c r="V234" t="s">
        <v>3823</v>
      </c>
      <c r="W234" s="88" t="s">
        <v>4034</v>
      </c>
    </row>
    <row r="235" spans="1:23" ht="14.4">
      <c r="A235" s="7" t="s">
        <v>1501</v>
      </c>
      <c r="B235" t="s">
        <v>1502</v>
      </c>
      <c r="C235" t="s">
        <v>122</v>
      </c>
      <c r="D235" s="7" t="s">
        <v>2095</v>
      </c>
      <c r="E235" s="7" t="s">
        <v>333</v>
      </c>
      <c r="F235" s="7" t="s">
        <v>2096</v>
      </c>
      <c r="G235" s="7" t="s">
        <v>2584</v>
      </c>
      <c r="H235" s="85" t="s">
        <v>3080</v>
      </c>
      <c r="I235" s="85" t="s">
        <v>2748</v>
      </c>
      <c r="J235" s="85"/>
      <c r="K235" s="85" t="s">
        <v>47</v>
      </c>
      <c r="L235" s="85">
        <v>5</v>
      </c>
      <c r="M235" s="20">
        <f>Table9[[#This Row],[Rate
(Please Select from the list)]]/5</f>
        <v>1</v>
      </c>
      <c r="N235" s="73">
        <v>2.54</v>
      </c>
      <c r="O235" s="74">
        <f>Table9[[#This Row],[Score %]]*Table9[[#This Row],[Item Weight
(Please Select from the list)]]</f>
        <v>2.54</v>
      </c>
      <c r="P235" s="80">
        <v>3</v>
      </c>
      <c r="Q235" t="s">
        <v>15</v>
      </c>
      <c r="R235"/>
      <c r="S235" t="s">
        <v>57</v>
      </c>
      <c r="T235"/>
      <c r="U235" t="s">
        <v>44</v>
      </c>
      <c r="V235" t="s">
        <v>3851</v>
      </c>
      <c r="W235" s="88" t="s">
        <v>4034</v>
      </c>
    </row>
    <row r="236" spans="1:23" ht="14.4">
      <c r="A236" s="7" t="s">
        <v>1501</v>
      </c>
      <c r="B236" t="s">
        <v>1502</v>
      </c>
      <c r="C236" t="s">
        <v>122</v>
      </c>
      <c r="D236" s="7" t="s">
        <v>2097</v>
      </c>
      <c r="E236" s="7" t="s">
        <v>2098</v>
      </c>
      <c r="F236" s="7" t="s">
        <v>2099</v>
      </c>
      <c r="G236" s="7" t="s">
        <v>2584</v>
      </c>
      <c r="H236" s="85" t="s">
        <v>3081</v>
      </c>
      <c r="I236" s="85" t="s">
        <v>2748</v>
      </c>
      <c r="J236" s="85" t="s">
        <v>3082</v>
      </c>
      <c r="K236" s="85" t="s">
        <v>16</v>
      </c>
      <c r="L236" s="85">
        <v>3</v>
      </c>
      <c r="M236" s="20">
        <f>Table9[[#This Row],[Rate
(Please Select from the list)]]/5</f>
        <v>0.6</v>
      </c>
      <c r="N236" s="73">
        <v>2.54</v>
      </c>
      <c r="O236" s="74">
        <f>Table9[[#This Row],[Score %]]*Table9[[#This Row],[Item Weight
(Please Select from the list)]]</f>
        <v>1.524</v>
      </c>
      <c r="P236" s="80">
        <v>3</v>
      </c>
      <c r="Q236" t="s">
        <v>3852</v>
      </c>
      <c r="R236"/>
      <c r="S236" t="s">
        <v>43</v>
      </c>
      <c r="T236"/>
      <c r="U236" t="s">
        <v>58</v>
      </c>
      <c r="V236" t="s">
        <v>3813</v>
      </c>
      <c r="W236" s="88" t="s">
        <v>4034</v>
      </c>
    </row>
    <row r="237" spans="1:23" ht="14.4">
      <c r="A237" s="7" t="s">
        <v>1501</v>
      </c>
      <c r="B237" t="s">
        <v>1502</v>
      </c>
      <c r="C237" t="s">
        <v>122</v>
      </c>
      <c r="D237" s="7" t="s">
        <v>2100</v>
      </c>
      <c r="E237" s="7" t="s">
        <v>2101</v>
      </c>
      <c r="F237" s="7" t="s">
        <v>2102</v>
      </c>
      <c r="G237" s="7" t="s">
        <v>2584</v>
      </c>
      <c r="H237" s="85" t="s">
        <v>3083</v>
      </c>
      <c r="I237" s="85" t="s">
        <v>2736</v>
      </c>
      <c r="J237" s="85" t="s">
        <v>3084</v>
      </c>
      <c r="K237" s="85" t="s">
        <v>16</v>
      </c>
      <c r="L237" s="85">
        <v>3</v>
      </c>
      <c r="M237" s="20">
        <f>Table9[[#This Row],[Rate
(Please Select from the list)]]/5</f>
        <v>0.6</v>
      </c>
      <c r="N237" s="73">
        <v>3.39</v>
      </c>
      <c r="O237" s="74">
        <f>Table9[[#This Row],[Score %]]*Table9[[#This Row],[Item Weight
(Please Select from the list)]]</f>
        <v>2.0339999999999998</v>
      </c>
      <c r="P237" s="80">
        <v>4</v>
      </c>
      <c r="Q237" t="s">
        <v>46</v>
      </c>
      <c r="R237"/>
      <c r="S237" t="s">
        <v>43</v>
      </c>
      <c r="T237"/>
      <c r="U237" t="s">
        <v>58</v>
      </c>
      <c r="V237" t="s">
        <v>3815</v>
      </c>
      <c r="W237" s="88" t="s">
        <v>4034</v>
      </c>
    </row>
    <row r="238" spans="1:23" ht="14.4">
      <c r="A238" s="7" t="s">
        <v>1501</v>
      </c>
      <c r="B238" t="s">
        <v>1502</v>
      </c>
      <c r="C238" t="s">
        <v>122</v>
      </c>
      <c r="D238" s="7" t="s">
        <v>2103</v>
      </c>
      <c r="E238" s="7" t="s">
        <v>2104</v>
      </c>
      <c r="F238" s="7" t="s">
        <v>2105</v>
      </c>
      <c r="G238" s="7" t="s">
        <v>2584</v>
      </c>
      <c r="H238" s="85" t="s">
        <v>3085</v>
      </c>
      <c r="I238" s="85" t="s">
        <v>2731</v>
      </c>
      <c r="J238" s="85"/>
      <c r="K238" s="85" t="s">
        <v>855</v>
      </c>
      <c r="L238" s="85">
        <v>5</v>
      </c>
      <c r="M238" s="20">
        <f>Table9[[#This Row],[Rate
(Please Select from the list)]]/5</f>
        <v>1</v>
      </c>
      <c r="N238" s="73">
        <v>2.54</v>
      </c>
      <c r="O238" s="74">
        <f>Table9[[#This Row],[Score %]]*Table9[[#This Row],[Item Weight
(Please Select from the list)]]</f>
        <v>2.54</v>
      </c>
      <c r="P238" s="80">
        <v>3</v>
      </c>
      <c r="Q238" t="s">
        <v>15</v>
      </c>
      <c r="R238"/>
      <c r="S238" t="s">
        <v>57</v>
      </c>
      <c r="T238"/>
      <c r="U238" t="s">
        <v>44</v>
      </c>
      <c r="V238" t="s">
        <v>3851</v>
      </c>
      <c r="W238" s="88" t="s">
        <v>4034</v>
      </c>
    </row>
    <row r="239" spans="1:23" ht="14.4">
      <c r="A239" s="7" t="s">
        <v>1501</v>
      </c>
      <c r="B239" t="s">
        <v>1502</v>
      </c>
      <c r="C239" t="s">
        <v>122</v>
      </c>
      <c r="D239" s="7" t="s">
        <v>2106</v>
      </c>
      <c r="E239" s="7" t="s">
        <v>2107</v>
      </c>
      <c r="F239" s="7" t="s">
        <v>2108</v>
      </c>
      <c r="G239" s="7" t="s">
        <v>2584</v>
      </c>
      <c r="H239" s="85" t="s">
        <v>3086</v>
      </c>
      <c r="I239" s="85" t="s">
        <v>2728</v>
      </c>
      <c r="J239" s="85"/>
      <c r="K239" s="85" t="s">
        <v>855</v>
      </c>
      <c r="L239" s="85">
        <v>4</v>
      </c>
      <c r="M239" s="20">
        <f>Table9[[#This Row],[Rate
(Please Select from the list)]]/5</f>
        <v>0.8</v>
      </c>
      <c r="N239" s="73">
        <v>2.54</v>
      </c>
      <c r="O239" s="74">
        <f>Table9[[#This Row],[Score %]]*Table9[[#This Row],[Item Weight
(Please Select from the list)]]</f>
        <v>2.032</v>
      </c>
      <c r="P239" s="80">
        <v>3</v>
      </c>
      <c r="Q239" t="s">
        <v>15</v>
      </c>
      <c r="R239"/>
      <c r="S239" t="s">
        <v>43</v>
      </c>
      <c r="T239"/>
      <c r="U239" t="s">
        <v>44</v>
      </c>
      <c r="V239" t="s">
        <v>3812</v>
      </c>
      <c r="W239" s="88" t="s">
        <v>4034</v>
      </c>
    </row>
    <row r="240" spans="1:23" ht="14.4">
      <c r="A240" s="7" t="s">
        <v>1501</v>
      </c>
      <c r="B240" t="s">
        <v>1502</v>
      </c>
      <c r="C240" t="s">
        <v>122</v>
      </c>
      <c r="D240" s="7" t="s">
        <v>2109</v>
      </c>
      <c r="E240" s="7" t="s">
        <v>2110</v>
      </c>
      <c r="F240" s="7" t="s">
        <v>2111</v>
      </c>
      <c r="G240" s="7" t="s">
        <v>2584</v>
      </c>
      <c r="H240" s="85" t="s">
        <v>3087</v>
      </c>
      <c r="I240" s="85" t="s">
        <v>2739</v>
      </c>
      <c r="J240" s="85" t="s">
        <v>3088</v>
      </c>
      <c r="K240" s="85" t="s">
        <v>16</v>
      </c>
      <c r="L240" s="85">
        <v>3</v>
      </c>
      <c r="M240" s="20">
        <f>Table9[[#This Row],[Rate
(Please Select from the list)]]/5</f>
        <v>0.6</v>
      </c>
      <c r="N240" s="73">
        <v>3.39</v>
      </c>
      <c r="O240" s="74">
        <f>Table9[[#This Row],[Score %]]*Table9[[#This Row],[Item Weight
(Please Select from the list)]]</f>
        <v>2.0339999999999998</v>
      </c>
      <c r="P240" s="80">
        <v>4</v>
      </c>
      <c r="Q240" t="s">
        <v>46</v>
      </c>
      <c r="R240" t="s">
        <v>3913</v>
      </c>
      <c r="S240" t="s">
        <v>43</v>
      </c>
      <c r="T240" t="s">
        <v>3844</v>
      </c>
      <c r="U240" t="s">
        <v>30</v>
      </c>
      <c r="V240" t="s">
        <v>3817</v>
      </c>
      <c r="W240" s="88" t="s">
        <v>4034</v>
      </c>
    </row>
    <row r="241" spans="1:23" ht="14.4">
      <c r="A241" s="7" t="s">
        <v>1501</v>
      </c>
      <c r="B241" t="s">
        <v>1502</v>
      </c>
      <c r="C241" t="s">
        <v>122</v>
      </c>
      <c r="D241" s="7" t="s">
        <v>2112</v>
      </c>
      <c r="E241" s="7" t="s">
        <v>2113</v>
      </c>
      <c r="F241" s="7" t="s">
        <v>2114</v>
      </c>
      <c r="G241" s="7" t="s">
        <v>2584</v>
      </c>
      <c r="H241" s="85" t="s">
        <v>3089</v>
      </c>
      <c r="I241" s="85" t="s">
        <v>2748</v>
      </c>
      <c r="J241" s="85" t="s">
        <v>3090</v>
      </c>
      <c r="K241" s="85" t="s">
        <v>16</v>
      </c>
      <c r="L241" s="85">
        <v>3</v>
      </c>
      <c r="M241" s="20">
        <f>Table9[[#This Row],[Rate
(Please Select from the list)]]/5</f>
        <v>0.6</v>
      </c>
      <c r="N241" s="73">
        <v>2.54</v>
      </c>
      <c r="O241" s="74">
        <f>Table9[[#This Row],[Score %]]*Table9[[#This Row],[Item Weight
(Please Select from the list)]]</f>
        <v>1.524</v>
      </c>
      <c r="P241" s="80">
        <v>3</v>
      </c>
      <c r="Q241" t="s">
        <v>46</v>
      </c>
      <c r="R241" t="s">
        <v>3914</v>
      </c>
      <c r="S241" t="s">
        <v>29</v>
      </c>
      <c r="T241" s="86">
        <v>45421</v>
      </c>
      <c r="U241" t="s">
        <v>14</v>
      </c>
      <c r="V241" t="s">
        <v>3839</v>
      </c>
      <c r="W241" s="88" t="s">
        <v>4034</v>
      </c>
    </row>
    <row r="242" spans="1:23" ht="14.4">
      <c r="A242" s="7" t="s">
        <v>1501</v>
      </c>
      <c r="B242" t="s">
        <v>1502</v>
      </c>
      <c r="C242" t="s">
        <v>122</v>
      </c>
      <c r="D242" s="7" t="s">
        <v>2115</v>
      </c>
      <c r="E242" s="7" t="s">
        <v>2116</v>
      </c>
      <c r="F242" s="7" t="s">
        <v>2117</v>
      </c>
      <c r="G242" s="7" t="s">
        <v>2584</v>
      </c>
      <c r="H242" s="85" t="s">
        <v>3091</v>
      </c>
      <c r="I242" s="85" t="s">
        <v>2748</v>
      </c>
      <c r="J242" s="85"/>
      <c r="K242" s="85" t="s">
        <v>855</v>
      </c>
      <c r="L242" s="85">
        <v>4</v>
      </c>
      <c r="M242" s="20">
        <f>Table9[[#This Row],[Rate
(Please Select from the list)]]/5</f>
        <v>0.8</v>
      </c>
      <c r="N242" s="73">
        <v>4.24</v>
      </c>
      <c r="O242" s="74">
        <f>Table9[[#This Row],[Score %]]*Table9[[#This Row],[Item Weight
(Please Select from the list)]]</f>
        <v>3.3920000000000003</v>
      </c>
      <c r="P242" s="80">
        <v>5</v>
      </c>
      <c r="Q242" t="s">
        <v>46</v>
      </c>
      <c r="R242"/>
      <c r="S242" t="s">
        <v>57</v>
      </c>
      <c r="T242"/>
      <c r="U242" t="s">
        <v>44</v>
      </c>
      <c r="V242" t="s">
        <v>3812</v>
      </c>
      <c r="W242" s="88" t="s">
        <v>4034</v>
      </c>
    </row>
    <row r="243" spans="1:23" ht="14.4">
      <c r="A243" s="7" t="s">
        <v>1501</v>
      </c>
      <c r="B243" t="s">
        <v>1502</v>
      </c>
      <c r="C243" t="s">
        <v>122</v>
      </c>
      <c r="D243" s="7" t="s">
        <v>2118</v>
      </c>
      <c r="E243" s="7" t="s">
        <v>2119</v>
      </c>
      <c r="F243" s="7" t="s">
        <v>2120</v>
      </c>
      <c r="G243" s="7" t="s">
        <v>2584</v>
      </c>
      <c r="H243" s="85" t="s">
        <v>3092</v>
      </c>
      <c r="I243" s="85" t="s">
        <v>2731</v>
      </c>
      <c r="J243" s="85" t="s">
        <v>3093</v>
      </c>
      <c r="K243" s="85" t="s">
        <v>16</v>
      </c>
      <c r="L243" s="85">
        <v>3</v>
      </c>
      <c r="M243" s="20">
        <f>Table9[[#This Row],[Rate
(Please Select from the list)]]/5</f>
        <v>0.6</v>
      </c>
      <c r="N243" s="73">
        <v>4.24</v>
      </c>
      <c r="O243" s="74">
        <f>Table9[[#This Row],[Score %]]*Table9[[#This Row],[Item Weight
(Please Select from the list)]]</f>
        <v>2.544</v>
      </c>
      <c r="P243" s="80">
        <v>5</v>
      </c>
      <c r="Q243" t="s">
        <v>15</v>
      </c>
      <c r="R243" t="s">
        <v>3915</v>
      </c>
      <c r="S243" t="s">
        <v>29</v>
      </c>
      <c r="T243" s="86">
        <v>45421</v>
      </c>
      <c r="U243" t="s">
        <v>14</v>
      </c>
      <c r="V243" t="s">
        <v>3825</v>
      </c>
      <c r="W243" s="88" t="s">
        <v>4034</v>
      </c>
    </row>
    <row r="244" spans="1:23" ht="14.4">
      <c r="A244" s="7" t="s">
        <v>1501</v>
      </c>
      <c r="B244" t="s">
        <v>1502</v>
      </c>
      <c r="C244" t="s">
        <v>122</v>
      </c>
      <c r="D244" s="7" t="s">
        <v>2121</v>
      </c>
      <c r="E244" s="7" t="s">
        <v>2122</v>
      </c>
      <c r="F244" s="7" t="s">
        <v>2123</v>
      </c>
      <c r="G244" s="7" t="s">
        <v>2584</v>
      </c>
      <c r="H244" s="85" t="s">
        <v>3094</v>
      </c>
      <c r="I244" s="85" t="s">
        <v>2731</v>
      </c>
      <c r="J244" s="85"/>
      <c r="K244" s="85" t="s">
        <v>16</v>
      </c>
      <c r="L244" s="85">
        <v>5</v>
      </c>
      <c r="M244" s="20">
        <f>Table9[[#This Row],[Rate
(Please Select from the list)]]/5</f>
        <v>1</v>
      </c>
      <c r="N244" s="73">
        <v>2.54</v>
      </c>
      <c r="O244" s="74">
        <f>Table9[[#This Row],[Score %]]*Table9[[#This Row],[Item Weight
(Please Select from the list)]]</f>
        <v>2.54</v>
      </c>
      <c r="P244" s="80">
        <v>3</v>
      </c>
      <c r="Q244" t="s">
        <v>3852</v>
      </c>
      <c r="R244"/>
      <c r="S244" t="s">
        <v>57</v>
      </c>
      <c r="T244"/>
      <c r="U244" t="s">
        <v>44</v>
      </c>
      <c r="V244" t="s">
        <v>3851</v>
      </c>
      <c r="W244" s="88" t="s">
        <v>4034</v>
      </c>
    </row>
    <row r="245" spans="1:23" ht="14.4">
      <c r="A245" s="7" t="s">
        <v>1501</v>
      </c>
      <c r="B245" t="s">
        <v>1502</v>
      </c>
      <c r="C245" t="s">
        <v>122</v>
      </c>
      <c r="D245" s="7" t="s">
        <v>2124</v>
      </c>
      <c r="E245" s="7" t="s">
        <v>2125</v>
      </c>
      <c r="F245" s="7" t="s">
        <v>2126</v>
      </c>
      <c r="G245" s="7" t="s">
        <v>2584</v>
      </c>
      <c r="H245" s="85" t="s">
        <v>3095</v>
      </c>
      <c r="I245" s="85" t="s">
        <v>2725</v>
      </c>
      <c r="J245" s="85" t="s">
        <v>3096</v>
      </c>
      <c r="K245" s="85" t="s">
        <v>16</v>
      </c>
      <c r="L245" s="85">
        <v>3</v>
      </c>
      <c r="M245" s="20">
        <f>Table9[[#This Row],[Rate
(Please Select from the list)]]/5</f>
        <v>0.6</v>
      </c>
      <c r="N245" s="73">
        <v>2.54</v>
      </c>
      <c r="O245" s="74">
        <f>Table9[[#This Row],[Score %]]*Table9[[#This Row],[Item Weight
(Please Select from the list)]]</f>
        <v>1.524</v>
      </c>
      <c r="P245" s="80">
        <v>3</v>
      </c>
      <c r="Q245" t="s">
        <v>31</v>
      </c>
      <c r="R245"/>
      <c r="S245" t="s">
        <v>43</v>
      </c>
      <c r="T245"/>
      <c r="U245" t="s">
        <v>44</v>
      </c>
      <c r="V245" t="s">
        <v>3825</v>
      </c>
      <c r="W245" s="88" t="s">
        <v>4034</v>
      </c>
    </row>
    <row r="246" spans="1:23" ht="14.4">
      <c r="A246" s="7" t="s">
        <v>1501</v>
      </c>
      <c r="B246" t="s">
        <v>1502</v>
      </c>
      <c r="C246" t="s">
        <v>122</v>
      </c>
      <c r="D246" s="7" t="s">
        <v>2127</v>
      </c>
      <c r="E246" s="7" t="s">
        <v>2128</v>
      </c>
      <c r="F246" s="7" t="s">
        <v>2129</v>
      </c>
      <c r="G246" s="7" t="s">
        <v>2584</v>
      </c>
      <c r="H246" s="85" t="s">
        <v>3097</v>
      </c>
      <c r="I246" s="85" t="s">
        <v>2795</v>
      </c>
      <c r="J246" s="85" t="s">
        <v>3098</v>
      </c>
      <c r="K246" s="85" t="s">
        <v>16</v>
      </c>
      <c r="L246" s="85">
        <v>2</v>
      </c>
      <c r="M246" s="20">
        <f>Table9[[#This Row],[Rate
(Please Select from the list)]]/5</f>
        <v>0.4</v>
      </c>
      <c r="N246" s="73">
        <v>2.54</v>
      </c>
      <c r="O246" s="74">
        <f>Table9[[#This Row],[Score %]]*Table9[[#This Row],[Item Weight
(Please Select from the list)]]</f>
        <v>1.016</v>
      </c>
      <c r="P246" s="80">
        <v>3</v>
      </c>
      <c r="Q246" t="s">
        <v>31</v>
      </c>
      <c r="R246" t="s">
        <v>3916</v>
      </c>
      <c r="S246" t="s">
        <v>29</v>
      </c>
      <c r="T246" s="86">
        <v>45421</v>
      </c>
      <c r="U246" t="s">
        <v>14</v>
      </c>
      <c r="V246" t="s">
        <v>3823</v>
      </c>
      <c r="W246" s="88" t="s">
        <v>4034</v>
      </c>
    </row>
    <row r="247" spans="1:23" ht="14.4">
      <c r="A247" s="7" t="s">
        <v>1517</v>
      </c>
      <c r="B247" t="s">
        <v>1603</v>
      </c>
      <c r="C247" t="s">
        <v>1604</v>
      </c>
      <c r="D247" s="7" t="s">
        <v>2130</v>
      </c>
      <c r="E247" s="7" t="s">
        <v>2131</v>
      </c>
      <c r="F247" s="7" t="s">
        <v>2132</v>
      </c>
      <c r="G247" s="7" t="s">
        <v>2584</v>
      </c>
      <c r="H247" s="85" t="s">
        <v>3099</v>
      </c>
      <c r="I247" s="85" t="s">
        <v>2718</v>
      </c>
      <c r="J247" s="85"/>
      <c r="K247" s="85" t="s">
        <v>855</v>
      </c>
      <c r="L247" s="85">
        <v>4</v>
      </c>
      <c r="M247" s="20">
        <f>Table9[[#This Row],[Rate
(Please Select from the list)]]/5</f>
        <v>0.8</v>
      </c>
      <c r="N247" s="73">
        <v>3.49</v>
      </c>
      <c r="O247" s="74">
        <f>Table9[[#This Row],[Score %]]*Table9[[#This Row],[Item Weight
(Please Select from the list)]]</f>
        <v>2.7920000000000003</v>
      </c>
      <c r="P247" s="80">
        <v>3</v>
      </c>
      <c r="Q247" t="s">
        <v>3852</v>
      </c>
      <c r="R247"/>
      <c r="S247" t="s">
        <v>57</v>
      </c>
      <c r="T247"/>
      <c r="U247" t="s">
        <v>58</v>
      </c>
      <c r="V247" t="s">
        <v>3812</v>
      </c>
      <c r="W247" s="88" t="s">
        <v>4034</v>
      </c>
    </row>
    <row r="248" spans="1:23" ht="14.4">
      <c r="A248" s="7" t="s">
        <v>1517</v>
      </c>
      <c r="B248" t="s">
        <v>1603</v>
      </c>
      <c r="C248" t="s">
        <v>1604</v>
      </c>
      <c r="D248" s="7" t="s">
        <v>2133</v>
      </c>
      <c r="E248" s="7" t="s">
        <v>2134</v>
      </c>
      <c r="F248" s="7" t="s">
        <v>2135</v>
      </c>
      <c r="G248" s="7" t="s">
        <v>2584</v>
      </c>
      <c r="H248" s="85" t="s">
        <v>3100</v>
      </c>
      <c r="I248" s="85" t="s">
        <v>2754</v>
      </c>
      <c r="J248" s="85" t="s">
        <v>3101</v>
      </c>
      <c r="K248" s="85" t="s">
        <v>16</v>
      </c>
      <c r="L248" s="85">
        <v>3</v>
      </c>
      <c r="M248" s="20">
        <f>Table9[[#This Row],[Rate
(Please Select from the list)]]/5</f>
        <v>0.6</v>
      </c>
      <c r="N248" s="73">
        <v>3.49</v>
      </c>
      <c r="O248" s="74">
        <f>Table9[[#This Row],[Score %]]*Table9[[#This Row],[Item Weight
(Please Select from the list)]]</f>
        <v>2.0939999999999999</v>
      </c>
      <c r="P248" s="80">
        <v>3</v>
      </c>
      <c r="Q248" t="s">
        <v>46</v>
      </c>
      <c r="R248"/>
      <c r="S248" t="s">
        <v>43</v>
      </c>
      <c r="T248"/>
      <c r="U248" t="s">
        <v>44</v>
      </c>
      <c r="V248" t="s">
        <v>3815</v>
      </c>
      <c r="W248" s="88" t="s">
        <v>4034</v>
      </c>
    </row>
    <row r="249" spans="1:23" ht="14.4">
      <c r="A249" s="7" t="s">
        <v>1517</v>
      </c>
      <c r="B249" t="s">
        <v>1603</v>
      </c>
      <c r="C249" t="s">
        <v>1604</v>
      </c>
      <c r="D249" s="7" t="s">
        <v>2136</v>
      </c>
      <c r="E249" s="7" t="s">
        <v>2137</v>
      </c>
      <c r="F249" s="7" t="s">
        <v>2138</v>
      </c>
      <c r="G249" s="7" t="s">
        <v>2584</v>
      </c>
      <c r="H249" s="85" t="s">
        <v>3102</v>
      </c>
      <c r="I249" s="85" t="s">
        <v>2739</v>
      </c>
      <c r="J249" s="85" t="s">
        <v>3103</v>
      </c>
      <c r="K249" s="85" t="s">
        <v>16</v>
      </c>
      <c r="L249" s="85">
        <v>2</v>
      </c>
      <c r="M249" s="20">
        <f>Table9[[#This Row],[Rate
(Please Select from the list)]]/5</f>
        <v>0.4</v>
      </c>
      <c r="N249" s="73">
        <v>3.49</v>
      </c>
      <c r="O249" s="74">
        <f>Table9[[#This Row],[Score %]]*Table9[[#This Row],[Item Weight
(Please Select from the list)]]</f>
        <v>1.3960000000000001</v>
      </c>
      <c r="P249" s="80">
        <v>3</v>
      </c>
      <c r="Q249" t="s">
        <v>15</v>
      </c>
      <c r="R249" t="s">
        <v>3917</v>
      </c>
      <c r="S249" t="s">
        <v>29</v>
      </c>
      <c r="T249" s="86">
        <v>45421</v>
      </c>
      <c r="U249" t="s">
        <v>30</v>
      </c>
      <c r="V249" t="s">
        <v>3847</v>
      </c>
      <c r="W249" s="88" t="s">
        <v>4034</v>
      </c>
    </row>
    <row r="250" spans="1:23" ht="14.4">
      <c r="A250" s="7" t="s">
        <v>1517</v>
      </c>
      <c r="B250" t="s">
        <v>1603</v>
      </c>
      <c r="C250" t="s">
        <v>1604</v>
      </c>
      <c r="D250" s="7" t="s">
        <v>2139</v>
      </c>
      <c r="E250" s="7" t="s">
        <v>2140</v>
      </c>
      <c r="F250" s="7" t="s">
        <v>2141</v>
      </c>
      <c r="G250" s="7" t="s">
        <v>2584</v>
      </c>
      <c r="H250" s="85" t="s">
        <v>3104</v>
      </c>
      <c r="I250" s="85" t="s">
        <v>2718</v>
      </c>
      <c r="J250" s="85"/>
      <c r="K250" s="85" t="s">
        <v>16</v>
      </c>
      <c r="L250" s="85">
        <v>4</v>
      </c>
      <c r="M250" s="20">
        <f>Table9[[#This Row],[Rate
(Please Select from the list)]]/5</f>
        <v>0.8</v>
      </c>
      <c r="N250" s="73">
        <v>3.49</v>
      </c>
      <c r="O250" s="74">
        <f>Table9[[#This Row],[Score %]]*Table9[[#This Row],[Item Weight
(Please Select from the list)]]</f>
        <v>2.7920000000000003</v>
      </c>
      <c r="P250" s="80">
        <v>3</v>
      </c>
      <c r="Q250" t="s">
        <v>46</v>
      </c>
      <c r="R250"/>
      <c r="S250" t="s">
        <v>57</v>
      </c>
      <c r="T250"/>
      <c r="U250" t="s">
        <v>58</v>
      </c>
      <c r="V250" t="s">
        <v>3812</v>
      </c>
      <c r="W250" s="88" t="s">
        <v>4034</v>
      </c>
    </row>
    <row r="251" spans="1:23" ht="14.4">
      <c r="A251" s="7" t="s">
        <v>1517</v>
      </c>
      <c r="B251" t="s">
        <v>1603</v>
      </c>
      <c r="C251" t="s">
        <v>1604</v>
      </c>
      <c r="D251" s="7" t="s">
        <v>2142</v>
      </c>
      <c r="E251" s="7" t="s">
        <v>2143</v>
      </c>
      <c r="F251" s="7" t="s">
        <v>2144</v>
      </c>
      <c r="G251" s="7" t="s">
        <v>2584</v>
      </c>
      <c r="H251" s="85" t="s">
        <v>3105</v>
      </c>
      <c r="I251" s="85" t="s">
        <v>2795</v>
      </c>
      <c r="J251" s="85"/>
      <c r="K251" s="85" t="s">
        <v>47</v>
      </c>
      <c r="L251" s="85">
        <v>4</v>
      </c>
      <c r="M251" s="20">
        <f>Table9[[#This Row],[Rate
(Please Select from the list)]]/5</f>
        <v>0.8</v>
      </c>
      <c r="N251" s="73">
        <v>3.49</v>
      </c>
      <c r="O251" s="74">
        <f>Table9[[#This Row],[Score %]]*Table9[[#This Row],[Item Weight
(Please Select from the list)]]</f>
        <v>2.7920000000000003</v>
      </c>
      <c r="P251" s="80">
        <v>3</v>
      </c>
      <c r="Q251" t="s">
        <v>15</v>
      </c>
      <c r="R251"/>
      <c r="S251" t="s">
        <v>57</v>
      </c>
      <c r="T251"/>
      <c r="U251" t="s">
        <v>58</v>
      </c>
      <c r="V251" t="s">
        <v>3812</v>
      </c>
      <c r="W251" s="88" t="s">
        <v>4034</v>
      </c>
    </row>
    <row r="252" spans="1:23" ht="14.4">
      <c r="A252" s="7" t="s">
        <v>1517</v>
      </c>
      <c r="B252" t="s">
        <v>1603</v>
      </c>
      <c r="C252" t="s">
        <v>1604</v>
      </c>
      <c r="D252" s="7" t="s">
        <v>2145</v>
      </c>
      <c r="E252" s="7" t="s">
        <v>2146</v>
      </c>
      <c r="F252" s="7" t="s">
        <v>2147</v>
      </c>
      <c r="G252" s="7" t="s">
        <v>2584</v>
      </c>
      <c r="H252" s="85" t="s">
        <v>3106</v>
      </c>
      <c r="I252" s="85" t="s">
        <v>2754</v>
      </c>
      <c r="J252" s="85"/>
      <c r="K252" s="85" t="s">
        <v>47</v>
      </c>
      <c r="L252" s="85">
        <v>5</v>
      </c>
      <c r="M252" s="20">
        <f>Table9[[#This Row],[Rate
(Please Select from the list)]]/5</f>
        <v>1</v>
      </c>
      <c r="N252" s="73">
        <v>3.49</v>
      </c>
      <c r="O252" s="74">
        <f>Table9[[#This Row],[Score %]]*Table9[[#This Row],[Item Weight
(Please Select from the list)]]</f>
        <v>3.49</v>
      </c>
      <c r="P252" s="80">
        <v>3</v>
      </c>
      <c r="Q252" t="s">
        <v>15</v>
      </c>
      <c r="R252"/>
      <c r="S252" t="s">
        <v>57</v>
      </c>
      <c r="T252"/>
      <c r="U252" t="s">
        <v>44</v>
      </c>
      <c r="V252" t="s">
        <v>3851</v>
      </c>
      <c r="W252" s="88" t="s">
        <v>4034</v>
      </c>
    </row>
    <row r="253" spans="1:23" ht="14.4">
      <c r="A253" s="7" t="s">
        <v>1517</v>
      </c>
      <c r="B253" t="s">
        <v>1603</v>
      </c>
      <c r="C253" t="s">
        <v>1604</v>
      </c>
      <c r="D253" s="7" t="s">
        <v>2148</v>
      </c>
      <c r="E253" s="7" t="s">
        <v>2149</v>
      </c>
      <c r="F253" s="7" t="s">
        <v>2150</v>
      </c>
      <c r="G253" s="7" t="s">
        <v>2584</v>
      </c>
      <c r="H253" s="85" t="s">
        <v>3107</v>
      </c>
      <c r="I253" s="85" t="s">
        <v>2716</v>
      </c>
      <c r="J253" s="85" t="s">
        <v>3108</v>
      </c>
      <c r="K253" s="85" t="s">
        <v>16</v>
      </c>
      <c r="L253" s="85">
        <v>2</v>
      </c>
      <c r="M253" s="20">
        <f>Table9[[#This Row],[Rate
(Please Select from the list)]]/5</f>
        <v>0.4</v>
      </c>
      <c r="N253" s="73">
        <v>3.49</v>
      </c>
      <c r="O253" s="74">
        <f>Table9[[#This Row],[Score %]]*Table9[[#This Row],[Item Weight
(Please Select from the list)]]</f>
        <v>1.3960000000000001</v>
      </c>
      <c r="P253" s="80">
        <v>3</v>
      </c>
      <c r="Q253" t="s">
        <v>46</v>
      </c>
      <c r="R253" t="s">
        <v>3918</v>
      </c>
      <c r="S253" t="s">
        <v>29</v>
      </c>
      <c r="T253" s="86">
        <v>45421</v>
      </c>
      <c r="U253" t="s">
        <v>14</v>
      </c>
      <c r="V253" t="s">
        <v>3831</v>
      </c>
      <c r="W253" s="88" t="s">
        <v>4034</v>
      </c>
    </row>
    <row r="254" spans="1:23" ht="14.4">
      <c r="A254" s="7" t="s">
        <v>1517</v>
      </c>
      <c r="B254" t="s">
        <v>1603</v>
      </c>
      <c r="C254" t="s">
        <v>1604</v>
      </c>
      <c r="D254" s="7" t="s">
        <v>2151</v>
      </c>
      <c r="E254" s="7" t="s">
        <v>2152</v>
      </c>
      <c r="F254" s="7" t="s">
        <v>2153</v>
      </c>
      <c r="G254" s="7" t="s">
        <v>2584</v>
      </c>
      <c r="H254" s="85" t="s">
        <v>3109</v>
      </c>
      <c r="I254" s="85" t="s">
        <v>2728</v>
      </c>
      <c r="J254" s="85" t="s">
        <v>3110</v>
      </c>
      <c r="K254" s="85" t="s">
        <v>16</v>
      </c>
      <c r="L254" s="85">
        <v>0</v>
      </c>
      <c r="M254" s="20">
        <f>Table9[[#This Row],[Rate
(Please Select from the list)]]/5</f>
        <v>0</v>
      </c>
      <c r="N254" s="73">
        <v>3.49</v>
      </c>
      <c r="O254" s="74">
        <f>Table9[[#This Row],[Score %]]*Table9[[#This Row],[Item Weight
(Please Select from the list)]]</f>
        <v>0</v>
      </c>
      <c r="P254" s="80">
        <v>3</v>
      </c>
      <c r="Q254" t="s">
        <v>59</v>
      </c>
      <c r="R254"/>
      <c r="S254" t="s">
        <v>3828</v>
      </c>
      <c r="T254"/>
      <c r="U254" t="s">
        <v>45</v>
      </c>
      <c r="V254" t="s">
        <v>3829</v>
      </c>
      <c r="W254" s="88" t="s">
        <v>4034</v>
      </c>
    </row>
    <row r="255" spans="1:23" ht="14.4">
      <c r="A255" s="7" t="s">
        <v>1517</v>
      </c>
      <c r="B255" t="s">
        <v>1603</v>
      </c>
      <c r="C255" t="s">
        <v>1604</v>
      </c>
      <c r="D255" s="7" t="s">
        <v>2154</v>
      </c>
      <c r="E255" s="7" t="s">
        <v>2155</v>
      </c>
      <c r="F255" s="7" t="s">
        <v>2156</v>
      </c>
      <c r="G255" s="7" t="s">
        <v>2584</v>
      </c>
      <c r="H255" s="85" t="s">
        <v>3111</v>
      </c>
      <c r="I255" s="85" t="s">
        <v>2748</v>
      </c>
      <c r="J255" s="85"/>
      <c r="K255" s="85" t="s">
        <v>855</v>
      </c>
      <c r="L255" s="85">
        <v>4</v>
      </c>
      <c r="M255" s="20">
        <f>Table9[[#This Row],[Rate
(Please Select from the list)]]/5</f>
        <v>0.8</v>
      </c>
      <c r="N255" s="73">
        <v>4.6500000000000004</v>
      </c>
      <c r="O255" s="74">
        <f>Table9[[#This Row],[Score %]]*Table9[[#This Row],[Item Weight
(Please Select from the list)]]</f>
        <v>3.7200000000000006</v>
      </c>
      <c r="P255" s="80">
        <v>4</v>
      </c>
      <c r="Q255" t="s">
        <v>46</v>
      </c>
      <c r="R255"/>
      <c r="S255" t="s">
        <v>57</v>
      </c>
      <c r="T255"/>
      <c r="U255" t="s">
        <v>44</v>
      </c>
      <c r="V255" t="s">
        <v>3812</v>
      </c>
      <c r="W255" s="88" t="s">
        <v>4034</v>
      </c>
    </row>
    <row r="256" spans="1:23" ht="14.4">
      <c r="A256" s="7" t="s">
        <v>1517</v>
      </c>
      <c r="B256" t="s">
        <v>1603</v>
      </c>
      <c r="C256" t="s">
        <v>1604</v>
      </c>
      <c r="D256" s="7" t="s">
        <v>2157</v>
      </c>
      <c r="E256" s="7" t="s">
        <v>2158</v>
      </c>
      <c r="F256" s="7" t="s">
        <v>2159</v>
      </c>
      <c r="G256" s="7" t="s">
        <v>2584</v>
      </c>
      <c r="H256" s="85" t="s">
        <v>3112</v>
      </c>
      <c r="I256" s="85" t="s">
        <v>2716</v>
      </c>
      <c r="J256" s="85" t="s">
        <v>3113</v>
      </c>
      <c r="K256" s="85" t="s">
        <v>16</v>
      </c>
      <c r="L256" s="85">
        <v>3</v>
      </c>
      <c r="M256" s="20">
        <f>Table9[[#This Row],[Rate
(Please Select from the list)]]/5</f>
        <v>0.6</v>
      </c>
      <c r="N256" s="73">
        <v>3.49</v>
      </c>
      <c r="O256" s="74">
        <f>Table9[[#This Row],[Score %]]*Table9[[#This Row],[Item Weight
(Please Select from the list)]]</f>
        <v>2.0939999999999999</v>
      </c>
      <c r="P256" s="80">
        <v>3</v>
      </c>
      <c r="Q256" t="s">
        <v>15</v>
      </c>
      <c r="R256"/>
      <c r="S256" t="s">
        <v>43</v>
      </c>
      <c r="T256"/>
      <c r="U256" t="s">
        <v>58</v>
      </c>
      <c r="V256" t="s">
        <v>3817</v>
      </c>
      <c r="W256" s="88" t="s">
        <v>4034</v>
      </c>
    </row>
    <row r="257" spans="1:23" ht="14.4">
      <c r="A257" s="7" t="s">
        <v>1517</v>
      </c>
      <c r="B257" t="s">
        <v>1603</v>
      </c>
      <c r="C257" t="s">
        <v>1604</v>
      </c>
      <c r="D257" s="7" t="s">
        <v>2160</v>
      </c>
      <c r="E257" s="7" t="s">
        <v>2161</v>
      </c>
      <c r="F257" s="7" t="s">
        <v>2162</v>
      </c>
      <c r="G257" s="7" t="s">
        <v>2584</v>
      </c>
      <c r="H257" s="85" t="s">
        <v>3114</v>
      </c>
      <c r="I257" s="85" t="s">
        <v>2731</v>
      </c>
      <c r="J257" s="85" t="s">
        <v>3115</v>
      </c>
      <c r="K257" s="85" t="s">
        <v>16</v>
      </c>
      <c r="L257" s="85">
        <v>3</v>
      </c>
      <c r="M257" s="20">
        <f>Table9[[#This Row],[Rate
(Please Select from the list)]]/5</f>
        <v>0.6</v>
      </c>
      <c r="N257" s="73">
        <v>3.49</v>
      </c>
      <c r="O257" s="74">
        <f>Table9[[#This Row],[Score %]]*Table9[[#This Row],[Item Weight
(Please Select from the list)]]</f>
        <v>2.0939999999999999</v>
      </c>
      <c r="P257" s="80">
        <v>3</v>
      </c>
      <c r="Q257" t="s">
        <v>46</v>
      </c>
      <c r="R257"/>
      <c r="S257" t="s">
        <v>43</v>
      </c>
      <c r="T257"/>
      <c r="U257" t="s">
        <v>44</v>
      </c>
      <c r="V257" t="s">
        <v>3813</v>
      </c>
      <c r="W257" s="88" t="s">
        <v>4034</v>
      </c>
    </row>
    <row r="258" spans="1:23" ht="14.4">
      <c r="A258" s="7" t="s">
        <v>1517</v>
      </c>
      <c r="B258" t="s">
        <v>1603</v>
      </c>
      <c r="C258" t="s">
        <v>1604</v>
      </c>
      <c r="D258" s="7" t="s">
        <v>2163</v>
      </c>
      <c r="E258" s="7" t="s">
        <v>2164</v>
      </c>
      <c r="F258" s="7" t="s">
        <v>2165</v>
      </c>
      <c r="G258" s="7" t="s">
        <v>2584</v>
      </c>
      <c r="H258" s="85" t="s">
        <v>3116</v>
      </c>
      <c r="I258" s="85" t="s">
        <v>2718</v>
      </c>
      <c r="J258" s="85" t="s">
        <v>3117</v>
      </c>
      <c r="K258" s="85" t="s">
        <v>16</v>
      </c>
      <c r="L258" s="85">
        <v>3</v>
      </c>
      <c r="M258" s="20">
        <f>Table9[[#This Row],[Rate
(Please Select from the list)]]/5</f>
        <v>0.6</v>
      </c>
      <c r="N258" s="73">
        <v>3.49</v>
      </c>
      <c r="O258" s="74">
        <f>Table9[[#This Row],[Score %]]*Table9[[#This Row],[Item Weight
(Please Select from the list)]]</f>
        <v>2.0939999999999999</v>
      </c>
      <c r="P258" s="80">
        <v>3</v>
      </c>
      <c r="Q258" t="s">
        <v>15</v>
      </c>
      <c r="R258"/>
      <c r="S258" t="s">
        <v>43</v>
      </c>
      <c r="T258"/>
      <c r="U258" t="s">
        <v>58</v>
      </c>
      <c r="V258" t="s">
        <v>3839</v>
      </c>
      <c r="W258" s="88" t="s">
        <v>4034</v>
      </c>
    </row>
    <row r="259" spans="1:23" ht="14.4">
      <c r="A259" s="7" t="s">
        <v>1517</v>
      </c>
      <c r="B259" t="s">
        <v>1603</v>
      </c>
      <c r="C259" t="s">
        <v>1604</v>
      </c>
      <c r="D259" s="7" t="s">
        <v>2166</v>
      </c>
      <c r="E259" s="7" t="s">
        <v>2167</v>
      </c>
      <c r="F259" s="7" t="s">
        <v>2168</v>
      </c>
      <c r="G259" s="7" t="s">
        <v>2584</v>
      </c>
      <c r="H259" s="85" t="s">
        <v>3118</v>
      </c>
      <c r="I259" s="85" t="s">
        <v>2731</v>
      </c>
      <c r="J259" s="85"/>
      <c r="K259" s="85" t="s">
        <v>855</v>
      </c>
      <c r="L259" s="85">
        <v>4</v>
      </c>
      <c r="M259" s="20">
        <f>Table9[[#This Row],[Rate
(Please Select from the list)]]/5</f>
        <v>0.8</v>
      </c>
      <c r="N259" s="73">
        <v>3.49</v>
      </c>
      <c r="O259" s="74">
        <f>Table9[[#This Row],[Score %]]*Table9[[#This Row],[Item Weight
(Please Select from the list)]]</f>
        <v>2.7920000000000003</v>
      </c>
      <c r="P259" s="80">
        <v>3</v>
      </c>
      <c r="Q259" t="s">
        <v>46</v>
      </c>
      <c r="R259"/>
      <c r="S259" t="s">
        <v>57</v>
      </c>
      <c r="T259"/>
      <c r="U259" t="s">
        <v>58</v>
      </c>
      <c r="V259" t="s">
        <v>3812</v>
      </c>
      <c r="W259" s="88" t="s">
        <v>4034</v>
      </c>
    </row>
    <row r="260" spans="1:23" ht="14.4">
      <c r="A260" s="7" t="s">
        <v>1517</v>
      </c>
      <c r="B260" t="s">
        <v>1603</v>
      </c>
      <c r="C260" t="s">
        <v>1604</v>
      </c>
      <c r="D260" s="7" t="s">
        <v>2169</v>
      </c>
      <c r="E260" s="7" t="s">
        <v>2170</v>
      </c>
      <c r="F260" s="7" t="s">
        <v>2171</v>
      </c>
      <c r="G260" s="7" t="s">
        <v>2584</v>
      </c>
      <c r="H260" s="85" t="s">
        <v>3119</v>
      </c>
      <c r="I260" s="85" t="s">
        <v>2731</v>
      </c>
      <c r="J260" s="85" t="s">
        <v>3120</v>
      </c>
      <c r="K260" s="85" t="s">
        <v>16</v>
      </c>
      <c r="L260" s="85">
        <v>0</v>
      </c>
      <c r="M260" s="20">
        <f>Table9[[#This Row],[Rate
(Please Select from the list)]]/5</f>
        <v>0</v>
      </c>
      <c r="N260" s="73">
        <v>3.49</v>
      </c>
      <c r="O260" s="74">
        <f>Table9[[#This Row],[Score %]]*Table9[[#This Row],[Item Weight
(Please Select from the list)]]</f>
        <v>0</v>
      </c>
      <c r="P260" s="80">
        <v>3</v>
      </c>
      <c r="Q260" t="s">
        <v>46</v>
      </c>
      <c r="R260"/>
      <c r="S260" t="s">
        <v>3828</v>
      </c>
      <c r="T260"/>
      <c r="U260" t="s">
        <v>45</v>
      </c>
      <c r="V260" t="s">
        <v>3829</v>
      </c>
      <c r="W260" s="88" t="s">
        <v>4034</v>
      </c>
    </row>
    <row r="261" spans="1:23" ht="14.4">
      <c r="A261" s="7" t="s">
        <v>1517</v>
      </c>
      <c r="B261" t="s">
        <v>1603</v>
      </c>
      <c r="C261" t="s">
        <v>1604</v>
      </c>
      <c r="D261" s="7" t="s">
        <v>2172</v>
      </c>
      <c r="E261" s="7" t="s">
        <v>2173</v>
      </c>
      <c r="F261" s="7" t="s">
        <v>2174</v>
      </c>
      <c r="G261" s="7" t="s">
        <v>2584</v>
      </c>
      <c r="H261" s="85" t="s">
        <v>3121</v>
      </c>
      <c r="I261" s="85" t="s">
        <v>2725</v>
      </c>
      <c r="J261" s="85"/>
      <c r="K261" s="85" t="s">
        <v>16</v>
      </c>
      <c r="L261" s="85">
        <v>4</v>
      </c>
      <c r="M261" s="20">
        <f>Table9[[#This Row],[Rate
(Please Select from the list)]]/5</f>
        <v>0.8</v>
      </c>
      <c r="N261" s="73">
        <v>3.49</v>
      </c>
      <c r="O261" s="74">
        <f>Table9[[#This Row],[Score %]]*Table9[[#This Row],[Item Weight
(Please Select from the list)]]</f>
        <v>2.7920000000000003</v>
      </c>
      <c r="P261" s="80">
        <v>3</v>
      </c>
      <c r="Q261" t="s">
        <v>3852</v>
      </c>
      <c r="R261"/>
      <c r="S261" t="s">
        <v>43</v>
      </c>
      <c r="T261"/>
      <c r="U261" t="s">
        <v>58</v>
      </c>
      <c r="V261" t="s">
        <v>3812</v>
      </c>
      <c r="W261" s="88" t="s">
        <v>4034</v>
      </c>
    </row>
    <row r="262" spans="1:23" ht="14.4">
      <c r="A262" s="7" t="s">
        <v>1517</v>
      </c>
      <c r="B262" t="s">
        <v>1603</v>
      </c>
      <c r="C262" t="s">
        <v>1604</v>
      </c>
      <c r="D262" s="7" t="s">
        <v>2175</v>
      </c>
      <c r="E262" s="7" t="s">
        <v>2176</v>
      </c>
      <c r="F262" s="7" t="s">
        <v>2177</v>
      </c>
      <c r="G262" s="7" t="s">
        <v>2584</v>
      </c>
      <c r="H262" s="85" t="s">
        <v>3122</v>
      </c>
      <c r="I262" s="85" t="s">
        <v>2795</v>
      </c>
      <c r="J262" s="85" t="s">
        <v>3123</v>
      </c>
      <c r="K262" s="85" t="s">
        <v>16</v>
      </c>
      <c r="L262" s="85">
        <v>3</v>
      </c>
      <c r="M262" s="20">
        <f>Table9[[#This Row],[Rate
(Please Select from the list)]]/5</f>
        <v>0.6</v>
      </c>
      <c r="N262" s="73">
        <v>3.49</v>
      </c>
      <c r="O262" s="74">
        <f>Table9[[#This Row],[Score %]]*Table9[[#This Row],[Item Weight
(Please Select from the list)]]</f>
        <v>2.0939999999999999</v>
      </c>
      <c r="P262" s="80">
        <v>3</v>
      </c>
      <c r="Q262" t="s">
        <v>46</v>
      </c>
      <c r="R262"/>
      <c r="S262" t="s">
        <v>43</v>
      </c>
      <c r="T262"/>
      <c r="U262" t="s">
        <v>44</v>
      </c>
      <c r="V262" t="s">
        <v>3815</v>
      </c>
      <c r="W262" s="88" t="s">
        <v>4034</v>
      </c>
    </row>
    <row r="263" spans="1:23" ht="14.4">
      <c r="A263" s="7" t="s">
        <v>1517</v>
      </c>
      <c r="B263" t="s">
        <v>1603</v>
      </c>
      <c r="C263" t="s">
        <v>1604</v>
      </c>
      <c r="D263" s="7" t="s">
        <v>2178</v>
      </c>
      <c r="E263" s="7" t="s">
        <v>2179</v>
      </c>
      <c r="F263" s="7" t="s">
        <v>2180</v>
      </c>
      <c r="G263" s="7" t="s">
        <v>2584</v>
      </c>
      <c r="H263" s="85" t="s">
        <v>3124</v>
      </c>
      <c r="I263" s="85" t="s">
        <v>2795</v>
      </c>
      <c r="J263" s="85" t="s">
        <v>3125</v>
      </c>
      <c r="K263" s="85" t="s">
        <v>16</v>
      </c>
      <c r="L263" s="85">
        <v>3</v>
      </c>
      <c r="M263" s="20">
        <f>Table9[[#This Row],[Rate
(Please Select from the list)]]/5</f>
        <v>0.6</v>
      </c>
      <c r="N263" s="73">
        <v>3.49</v>
      </c>
      <c r="O263" s="74">
        <f>Table9[[#This Row],[Score %]]*Table9[[#This Row],[Item Weight
(Please Select from the list)]]</f>
        <v>2.0939999999999999</v>
      </c>
      <c r="P263" s="80">
        <v>3</v>
      </c>
      <c r="Q263" t="s">
        <v>3852</v>
      </c>
      <c r="R263"/>
      <c r="S263" t="s">
        <v>43</v>
      </c>
      <c r="T263"/>
      <c r="U263" t="s">
        <v>44</v>
      </c>
      <c r="V263" t="s">
        <v>3825</v>
      </c>
      <c r="W263" s="88" t="s">
        <v>4034</v>
      </c>
    </row>
    <row r="264" spans="1:23" ht="14.4">
      <c r="A264" s="7" t="s">
        <v>1517</v>
      </c>
      <c r="B264" t="s">
        <v>1603</v>
      </c>
      <c r="C264" t="s">
        <v>1604</v>
      </c>
      <c r="D264" s="7" t="s">
        <v>2181</v>
      </c>
      <c r="E264" s="7" t="s">
        <v>2182</v>
      </c>
      <c r="F264" s="7" t="s">
        <v>2183</v>
      </c>
      <c r="G264" s="7" t="s">
        <v>2584</v>
      </c>
      <c r="H264" s="85" t="s">
        <v>3126</v>
      </c>
      <c r="I264" s="85" t="s">
        <v>2795</v>
      </c>
      <c r="J264" s="85"/>
      <c r="K264" s="85" t="s">
        <v>47</v>
      </c>
      <c r="L264" s="85">
        <v>4</v>
      </c>
      <c r="M264" s="20">
        <f>Table9[[#This Row],[Rate
(Please Select from the list)]]/5</f>
        <v>0.8</v>
      </c>
      <c r="N264" s="73">
        <v>3.49</v>
      </c>
      <c r="O264" s="74">
        <f>Table9[[#This Row],[Score %]]*Table9[[#This Row],[Item Weight
(Please Select from the list)]]</f>
        <v>2.7920000000000003</v>
      </c>
      <c r="P264" s="80">
        <v>3</v>
      </c>
      <c r="Q264" t="s">
        <v>15</v>
      </c>
      <c r="R264"/>
      <c r="S264" t="s">
        <v>57</v>
      </c>
      <c r="T264"/>
      <c r="U264" t="s">
        <v>44</v>
      </c>
      <c r="V264" t="s">
        <v>3812</v>
      </c>
      <c r="W264" s="88" t="s">
        <v>4034</v>
      </c>
    </row>
    <row r="265" spans="1:23" ht="14.4">
      <c r="A265" s="7" t="s">
        <v>1517</v>
      </c>
      <c r="B265" t="s">
        <v>1603</v>
      </c>
      <c r="C265" t="s">
        <v>1604</v>
      </c>
      <c r="D265" s="7" t="s">
        <v>2184</v>
      </c>
      <c r="E265" s="7" t="s">
        <v>2185</v>
      </c>
      <c r="F265" s="7" t="s">
        <v>2186</v>
      </c>
      <c r="G265" s="7" t="s">
        <v>2584</v>
      </c>
      <c r="H265" s="85" t="s">
        <v>3127</v>
      </c>
      <c r="I265" s="85" t="s">
        <v>2739</v>
      </c>
      <c r="J265" s="85" t="s">
        <v>3128</v>
      </c>
      <c r="K265" s="85" t="s">
        <v>16</v>
      </c>
      <c r="L265" s="85">
        <v>3</v>
      </c>
      <c r="M265" s="20">
        <f>Table9[[#This Row],[Rate
(Please Select from the list)]]/5</f>
        <v>0.6</v>
      </c>
      <c r="N265" s="73">
        <v>4.6500000000000004</v>
      </c>
      <c r="O265" s="74">
        <f>Table9[[#This Row],[Score %]]*Table9[[#This Row],[Item Weight
(Please Select from the list)]]</f>
        <v>2.79</v>
      </c>
      <c r="P265" s="80">
        <v>4</v>
      </c>
      <c r="Q265" t="s">
        <v>31</v>
      </c>
      <c r="R265"/>
      <c r="S265" t="s">
        <v>43</v>
      </c>
      <c r="T265"/>
      <c r="U265" t="s">
        <v>44</v>
      </c>
      <c r="V265" t="s">
        <v>3813</v>
      </c>
      <c r="W265" s="88" t="s">
        <v>4034</v>
      </c>
    </row>
    <row r="266" spans="1:23" ht="14.4">
      <c r="A266" s="7" t="s">
        <v>1517</v>
      </c>
      <c r="B266" t="s">
        <v>1603</v>
      </c>
      <c r="C266" t="s">
        <v>1604</v>
      </c>
      <c r="D266" s="7" t="s">
        <v>2187</v>
      </c>
      <c r="E266" s="7" t="s">
        <v>2188</v>
      </c>
      <c r="F266" s="7" t="s">
        <v>2189</v>
      </c>
      <c r="G266" s="7" t="s">
        <v>2584</v>
      </c>
      <c r="H266" s="85" t="s">
        <v>3129</v>
      </c>
      <c r="I266" s="85" t="s">
        <v>2795</v>
      </c>
      <c r="J266" s="85" t="s">
        <v>3130</v>
      </c>
      <c r="K266" s="85" t="s">
        <v>16</v>
      </c>
      <c r="L266" s="85">
        <v>3</v>
      </c>
      <c r="M266" s="20">
        <f>Table9[[#This Row],[Rate
(Please Select from the list)]]/5</f>
        <v>0.6</v>
      </c>
      <c r="N266" s="73">
        <v>3.49</v>
      </c>
      <c r="O266" s="74">
        <f>Table9[[#This Row],[Score %]]*Table9[[#This Row],[Item Weight
(Please Select from the list)]]</f>
        <v>2.0939999999999999</v>
      </c>
      <c r="P266" s="80">
        <v>3</v>
      </c>
      <c r="Q266" t="s">
        <v>46</v>
      </c>
      <c r="R266"/>
      <c r="S266" t="s">
        <v>43</v>
      </c>
      <c r="T266"/>
      <c r="U266" t="s">
        <v>44</v>
      </c>
      <c r="V266" t="s">
        <v>3815</v>
      </c>
      <c r="W266" s="88" t="s">
        <v>4034</v>
      </c>
    </row>
    <row r="267" spans="1:23" ht="14.4">
      <c r="A267" s="7" t="s">
        <v>1517</v>
      </c>
      <c r="B267" t="s">
        <v>1603</v>
      </c>
      <c r="C267" t="s">
        <v>1604</v>
      </c>
      <c r="D267" s="7" t="s">
        <v>2190</v>
      </c>
      <c r="E267" s="7" t="s">
        <v>2191</v>
      </c>
      <c r="F267" s="7" t="s">
        <v>2192</v>
      </c>
      <c r="G267" s="7" t="s">
        <v>2584</v>
      </c>
      <c r="H267" s="85" t="s">
        <v>3131</v>
      </c>
      <c r="I267" s="85" t="s">
        <v>2716</v>
      </c>
      <c r="J267" s="85" t="s">
        <v>3132</v>
      </c>
      <c r="K267" s="85" t="s">
        <v>16</v>
      </c>
      <c r="L267" s="85">
        <v>3</v>
      </c>
      <c r="M267" s="20">
        <f>Table9[[#This Row],[Rate
(Please Select from the list)]]/5</f>
        <v>0.6</v>
      </c>
      <c r="N267" s="73">
        <v>3.49</v>
      </c>
      <c r="O267" s="74">
        <f>Table9[[#This Row],[Score %]]*Table9[[#This Row],[Item Weight
(Please Select from the list)]]</f>
        <v>2.0939999999999999</v>
      </c>
      <c r="P267" s="80">
        <v>3</v>
      </c>
      <c r="Q267" t="s">
        <v>31</v>
      </c>
      <c r="R267"/>
      <c r="S267" t="s">
        <v>43</v>
      </c>
      <c r="T267"/>
      <c r="U267" t="s">
        <v>58</v>
      </c>
      <c r="V267" t="s">
        <v>3813</v>
      </c>
      <c r="W267" s="88" t="s">
        <v>4034</v>
      </c>
    </row>
    <row r="268" spans="1:23" ht="14.4">
      <c r="A268" s="7" t="s">
        <v>1517</v>
      </c>
      <c r="B268" t="s">
        <v>1603</v>
      </c>
      <c r="C268" t="s">
        <v>1604</v>
      </c>
      <c r="D268" s="7" t="s">
        <v>2193</v>
      </c>
      <c r="E268" s="7" t="s">
        <v>2194</v>
      </c>
      <c r="F268" s="7" t="s">
        <v>2195</v>
      </c>
      <c r="G268" s="7" t="s">
        <v>2584</v>
      </c>
      <c r="H268" s="85" t="s">
        <v>3133</v>
      </c>
      <c r="I268" s="85" t="s">
        <v>2748</v>
      </c>
      <c r="J268" s="85" t="s">
        <v>3134</v>
      </c>
      <c r="K268" s="85" t="s">
        <v>16</v>
      </c>
      <c r="L268" s="85">
        <v>3</v>
      </c>
      <c r="M268" s="20">
        <f>Table9[[#This Row],[Rate
(Please Select from the list)]]/5</f>
        <v>0.6</v>
      </c>
      <c r="N268" s="73">
        <v>3.49</v>
      </c>
      <c r="O268" s="74">
        <f>Table9[[#This Row],[Score %]]*Table9[[#This Row],[Item Weight
(Please Select from the list)]]</f>
        <v>2.0939999999999999</v>
      </c>
      <c r="P268" s="80">
        <v>3</v>
      </c>
      <c r="Q268" t="s">
        <v>15</v>
      </c>
      <c r="R268"/>
      <c r="S268" t="s">
        <v>43</v>
      </c>
      <c r="T268"/>
      <c r="U268" t="s">
        <v>58</v>
      </c>
      <c r="V268" t="s">
        <v>3825</v>
      </c>
      <c r="W268" s="88" t="s">
        <v>4034</v>
      </c>
    </row>
    <row r="269" spans="1:23" ht="14.4">
      <c r="A269" s="7" t="s">
        <v>1517</v>
      </c>
      <c r="B269" t="s">
        <v>1603</v>
      </c>
      <c r="C269" t="s">
        <v>1604</v>
      </c>
      <c r="D269" s="7" t="s">
        <v>2196</v>
      </c>
      <c r="E269" s="7" t="s">
        <v>2197</v>
      </c>
      <c r="F269" s="7" t="s">
        <v>2198</v>
      </c>
      <c r="G269" s="7" t="s">
        <v>2584</v>
      </c>
      <c r="H269" s="85" t="s">
        <v>3135</v>
      </c>
      <c r="I269" s="85" t="s">
        <v>2795</v>
      </c>
      <c r="J269" s="85"/>
      <c r="K269" s="85" t="s">
        <v>16</v>
      </c>
      <c r="L269" s="85">
        <v>4</v>
      </c>
      <c r="M269" s="20">
        <f>Table9[[#This Row],[Rate
(Please Select from the list)]]/5</f>
        <v>0.8</v>
      </c>
      <c r="N269" s="73">
        <v>3.49</v>
      </c>
      <c r="O269" s="74">
        <f>Table9[[#This Row],[Score %]]*Table9[[#This Row],[Item Weight
(Please Select from the list)]]</f>
        <v>2.7920000000000003</v>
      </c>
      <c r="P269" s="80">
        <v>3</v>
      </c>
      <c r="Q269" t="s">
        <v>46</v>
      </c>
      <c r="R269"/>
      <c r="S269" t="s">
        <v>57</v>
      </c>
      <c r="T269"/>
      <c r="U269" t="s">
        <v>58</v>
      </c>
      <c r="V269" t="s">
        <v>3812</v>
      </c>
      <c r="W269" s="88" t="s">
        <v>4034</v>
      </c>
    </row>
    <row r="270" spans="1:23" ht="14.4">
      <c r="A270" s="7" t="s">
        <v>1517</v>
      </c>
      <c r="B270" t="s">
        <v>1603</v>
      </c>
      <c r="C270" t="s">
        <v>1604</v>
      </c>
      <c r="D270" s="7" t="s">
        <v>2199</v>
      </c>
      <c r="E270" s="7" t="s">
        <v>2200</v>
      </c>
      <c r="F270" s="7" t="s">
        <v>2201</v>
      </c>
      <c r="G270" s="7" t="s">
        <v>2584</v>
      </c>
      <c r="H270" s="85" t="s">
        <v>3136</v>
      </c>
      <c r="I270" s="85" t="s">
        <v>2795</v>
      </c>
      <c r="J270" s="85"/>
      <c r="K270" s="85" t="s">
        <v>16</v>
      </c>
      <c r="L270" s="85">
        <v>4</v>
      </c>
      <c r="M270" s="20">
        <f>Table9[[#This Row],[Rate
(Please Select from the list)]]/5</f>
        <v>0.8</v>
      </c>
      <c r="N270" s="73">
        <v>3.49</v>
      </c>
      <c r="O270" s="74">
        <f>Table9[[#This Row],[Score %]]*Table9[[#This Row],[Item Weight
(Please Select from the list)]]</f>
        <v>2.7920000000000003</v>
      </c>
      <c r="P270" s="80">
        <v>3</v>
      </c>
      <c r="Q270" t="s">
        <v>15</v>
      </c>
      <c r="R270"/>
      <c r="S270" t="s">
        <v>57</v>
      </c>
      <c r="T270"/>
      <c r="U270" t="s">
        <v>58</v>
      </c>
      <c r="V270" t="s">
        <v>3812</v>
      </c>
      <c r="W270" s="88" t="s">
        <v>4034</v>
      </c>
    </row>
    <row r="271" spans="1:23" ht="14.4">
      <c r="A271" s="7" t="s">
        <v>1517</v>
      </c>
      <c r="B271" t="s">
        <v>1603</v>
      </c>
      <c r="C271" t="s">
        <v>1604</v>
      </c>
      <c r="D271" s="7" t="s">
        <v>2202</v>
      </c>
      <c r="E271" s="7" t="s">
        <v>2203</v>
      </c>
      <c r="F271" s="7" t="s">
        <v>2204</v>
      </c>
      <c r="G271" s="7" t="s">
        <v>2584</v>
      </c>
      <c r="H271" s="85" t="s">
        <v>3137</v>
      </c>
      <c r="I271" s="85" t="s">
        <v>2731</v>
      </c>
      <c r="J271" s="85"/>
      <c r="K271" s="85" t="s">
        <v>16</v>
      </c>
      <c r="L271" s="85">
        <v>4</v>
      </c>
      <c r="M271" s="20">
        <f>Table9[[#This Row],[Rate
(Please Select from the list)]]/5</f>
        <v>0.8</v>
      </c>
      <c r="N271" s="73">
        <v>3.49</v>
      </c>
      <c r="O271" s="74">
        <f>Table9[[#This Row],[Score %]]*Table9[[#This Row],[Item Weight
(Please Select from the list)]]</f>
        <v>2.7920000000000003</v>
      </c>
      <c r="P271" s="80">
        <v>3</v>
      </c>
      <c r="Q271" t="s">
        <v>31</v>
      </c>
      <c r="R271"/>
      <c r="S271" t="s">
        <v>57</v>
      </c>
      <c r="T271"/>
      <c r="U271" t="s">
        <v>58</v>
      </c>
      <c r="V271" t="s">
        <v>3812</v>
      </c>
      <c r="W271" s="88" t="s">
        <v>4034</v>
      </c>
    </row>
    <row r="272" spans="1:23" ht="14.4">
      <c r="A272" s="7" t="s">
        <v>1517</v>
      </c>
      <c r="B272" t="s">
        <v>1603</v>
      </c>
      <c r="C272" t="s">
        <v>1604</v>
      </c>
      <c r="D272" s="7" t="s">
        <v>2205</v>
      </c>
      <c r="E272" s="7" t="s">
        <v>2206</v>
      </c>
      <c r="F272" s="7" t="s">
        <v>2207</v>
      </c>
      <c r="G272" s="7" t="s">
        <v>2584</v>
      </c>
      <c r="H272" s="85" t="s">
        <v>3138</v>
      </c>
      <c r="I272" s="85" t="s">
        <v>2725</v>
      </c>
      <c r="J272" s="85" t="s">
        <v>3139</v>
      </c>
      <c r="K272" s="85" t="s">
        <v>16</v>
      </c>
      <c r="L272" s="85">
        <v>3</v>
      </c>
      <c r="M272" s="20">
        <f>Table9[[#This Row],[Rate
(Please Select from the list)]]/5</f>
        <v>0.6</v>
      </c>
      <c r="N272" s="73">
        <v>3.49</v>
      </c>
      <c r="O272" s="74">
        <f>Table9[[#This Row],[Score %]]*Table9[[#This Row],[Item Weight
(Please Select from the list)]]</f>
        <v>2.0939999999999999</v>
      </c>
      <c r="P272" s="80">
        <v>3</v>
      </c>
      <c r="Q272" t="s">
        <v>15</v>
      </c>
      <c r="R272" t="s">
        <v>3919</v>
      </c>
      <c r="S272" t="s">
        <v>29</v>
      </c>
      <c r="T272" s="86">
        <v>45421</v>
      </c>
      <c r="U272" t="s">
        <v>14</v>
      </c>
      <c r="V272" t="s">
        <v>3817</v>
      </c>
      <c r="W272" s="88" t="s">
        <v>4034</v>
      </c>
    </row>
    <row r="273" spans="1:23" ht="14.4">
      <c r="A273" s="7" t="s">
        <v>1517</v>
      </c>
      <c r="B273" t="s">
        <v>1603</v>
      </c>
      <c r="C273" t="s">
        <v>1604</v>
      </c>
      <c r="D273" s="7" t="s">
        <v>2208</v>
      </c>
      <c r="E273" s="7" t="s">
        <v>2209</v>
      </c>
      <c r="F273" s="7" t="s">
        <v>2210</v>
      </c>
      <c r="G273" s="7" t="s">
        <v>2584</v>
      </c>
      <c r="H273" s="85" t="s">
        <v>3140</v>
      </c>
      <c r="I273" s="85" t="s">
        <v>2748</v>
      </c>
      <c r="J273" s="85" t="s">
        <v>3141</v>
      </c>
      <c r="K273" s="85" t="s">
        <v>16</v>
      </c>
      <c r="L273" s="85">
        <v>2</v>
      </c>
      <c r="M273" s="20">
        <f>Table9[[#This Row],[Rate
(Please Select from the list)]]/5</f>
        <v>0.4</v>
      </c>
      <c r="N273" s="73">
        <v>3.49</v>
      </c>
      <c r="O273" s="74">
        <f>Table9[[#This Row],[Score %]]*Table9[[#This Row],[Item Weight
(Please Select from the list)]]</f>
        <v>1.3960000000000001</v>
      </c>
      <c r="P273" s="80">
        <v>3</v>
      </c>
      <c r="Q273" t="s">
        <v>15</v>
      </c>
      <c r="R273" t="s">
        <v>3920</v>
      </c>
      <c r="S273" t="s">
        <v>29</v>
      </c>
      <c r="T273" s="86">
        <v>45421</v>
      </c>
      <c r="U273" t="s">
        <v>14</v>
      </c>
      <c r="V273" t="s">
        <v>3834</v>
      </c>
      <c r="W273" s="88" t="s">
        <v>4034</v>
      </c>
    </row>
    <row r="274" spans="1:23" ht="14.4">
      <c r="A274" s="7" t="s">
        <v>1517</v>
      </c>
      <c r="B274" t="s">
        <v>1603</v>
      </c>
      <c r="C274" t="s">
        <v>1604</v>
      </c>
      <c r="D274" s="7" t="s">
        <v>2211</v>
      </c>
      <c r="E274" s="7" t="s">
        <v>1919</v>
      </c>
      <c r="F274" s="7" t="s">
        <v>2212</v>
      </c>
      <c r="G274" s="7" t="s">
        <v>2584</v>
      </c>
      <c r="H274" s="85" t="s">
        <v>3142</v>
      </c>
      <c r="I274" s="85" t="s">
        <v>2739</v>
      </c>
      <c r="J274" s="85"/>
      <c r="K274" s="85" t="s">
        <v>47</v>
      </c>
      <c r="L274" s="85">
        <v>4</v>
      </c>
      <c r="M274" s="20">
        <f>Table9[[#This Row],[Rate
(Please Select from the list)]]/5</f>
        <v>0.8</v>
      </c>
      <c r="N274" s="73">
        <v>3.49</v>
      </c>
      <c r="O274" s="74">
        <f>Table9[[#This Row],[Score %]]*Table9[[#This Row],[Item Weight
(Please Select from the list)]]</f>
        <v>2.7920000000000003</v>
      </c>
      <c r="P274" s="80">
        <v>3</v>
      </c>
      <c r="Q274" t="s">
        <v>3852</v>
      </c>
      <c r="R274"/>
      <c r="S274" t="s">
        <v>57</v>
      </c>
      <c r="T274"/>
      <c r="U274" t="s">
        <v>44</v>
      </c>
      <c r="V274" t="s">
        <v>3812</v>
      </c>
      <c r="W274" s="88" t="s">
        <v>4034</v>
      </c>
    </row>
    <row r="275" spans="1:23" ht="14.4">
      <c r="A275" s="7" t="s">
        <v>103</v>
      </c>
      <c r="B275" t="s">
        <v>25</v>
      </c>
      <c r="C275" t="s">
        <v>26</v>
      </c>
      <c r="D275" s="7" t="s">
        <v>959</v>
      </c>
      <c r="E275" s="7" t="s">
        <v>960</v>
      </c>
      <c r="F275" s="7" t="s">
        <v>961</v>
      </c>
      <c r="G275" s="7" t="s">
        <v>2584</v>
      </c>
      <c r="H275" s="85" t="s">
        <v>3143</v>
      </c>
      <c r="I275" s="85" t="s">
        <v>2728</v>
      </c>
      <c r="J275" s="85" t="s">
        <v>3144</v>
      </c>
      <c r="K275" s="85" t="s">
        <v>16</v>
      </c>
      <c r="L275" s="85">
        <v>0</v>
      </c>
      <c r="M275" s="20">
        <f>Table9[[#This Row],[Rate
(Please Select from the list)]]/5</f>
        <v>0</v>
      </c>
      <c r="N275" s="73">
        <v>2.44</v>
      </c>
      <c r="O275" s="74">
        <f>Table9[[#This Row],[Score %]]*Table9[[#This Row],[Item Weight
(Please Select from the list)]]</f>
        <v>0</v>
      </c>
      <c r="P275" s="80">
        <v>3</v>
      </c>
      <c r="Q275" t="s">
        <v>46</v>
      </c>
      <c r="R275"/>
      <c r="S275" t="s">
        <v>3828</v>
      </c>
      <c r="T275"/>
      <c r="U275" t="s">
        <v>45</v>
      </c>
      <c r="V275" t="s">
        <v>3829</v>
      </c>
      <c r="W275" s="88" t="s">
        <v>4034</v>
      </c>
    </row>
    <row r="276" spans="1:23" ht="14.4">
      <c r="A276" s="7" t="s">
        <v>103</v>
      </c>
      <c r="B276" t="s">
        <v>25</v>
      </c>
      <c r="C276" t="s">
        <v>26</v>
      </c>
      <c r="D276" s="7" t="s">
        <v>962</v>
      </c>
      <c r="E276" s="7" t="s">
        <v>963</v>
      </c>
      <c r="F276" s="7" t="s">
        <v>964</v>
      </c>
      <c r="G276" s="7" t="s">
        <v>2584</v>
      </c>
      <c r="H276" s="85" t="s">
        <v>3145</v>
      </c>
      <c r="I276" s="85" t="s">
        <v>2754</v>
      </c>
      <c r="J276" s="85" t="s">
        <v>3146</v>
      </c>
      <c r="K276" s="85" t="s">
        <v>16</v>
      </c>
      <c r="L276" s="85">
        <v>3</v>
      </c>
      <c r="M276" s="20">
        <f>Table9[[#This Row],[Rate
(Please Select from the list)]]/5</f>
        <v>0.6</v>
      </c>
      <c r="N276" s="73">
        <v>2.44</v>
      </c>
      <c r="O276" s="74">
        <f>Table9[[#This Row],[Score %]]*Table9[[#This Row],[Item Weight
(Please Select from the list)]]</f>
        <v>1.464</v>
      </c>
      <c r="P276" s="80">
        <v>3</v>
      </c>
      <c r="Q276" t="s">
        <v>3852</v>
      </c>
      <c r="R276" t="s">
        <v>3921</v>
      </c>
      <c r="S276" t="s">
        <v>43</v>
      </c>
      <c r="T276" t="s">
        <v>3844</v>
      </c>
      <c r="U276" t="s">
        <v>30</v>
      </c>
      <c r="V276" t="s">
        <v>3817</v>
      </c>
      <c r="W276" s="88" t="s">
        <v>4034</v>
      </c>
    </row>
    <row r="277" spans="1:23" ht="14.4">
      <c r="A277" s="7" t="s">
        <v>103</v>
      </c>
      <c r="B277" t="s">
        <v>25</v>
      </c>
      <c r="C277" t="s">
        <v>26</v>
      </c>
      <c r="D277" s="7" t="s">
        <v>965</v>
      </c>
      <c r="E277" s="7" t="s">
        <v>966</v>
      </c>
      <c r="F277" s="7" t="s">
        <v>967</v>
      </c>
      <c r="G277" s="7" t="s">
        <v>2584</v>
      </c>
      <c r="H277" s="85" t="s">
        <v>3147</v>
      </c>
      <c r="I277" s="85" t="s">
        <v>2716</v>
      </c>
      <c r="J277" s="85"/>
      <c r="K277" s="85" t="s">
        <v>855</v>
      </c>
      <c r="L277" s="85">
        <v>4</v>
      </c>
      <c r="M277" s="20">
        <f>Table9[[#This Row],[Rate
(Please Select from the list)]]/5</f>
        <v>0.8</v>
      </c>
      <c r="N277" s="73">
        <v>2.44</v>
      </c>
      <c r="O277" s="74">
        <f>Table9[[#This Row],[Score %]]*Table9[[#This Row],[Item Weight
(Please Select from the list)]]</f>
        <v>1.952</v>
      </c>
      <c r="P277" s="80">
        <v>3</v>
      </c>
      <c r="Q277" t="s">
        <v>46</v>
      </c>
      <c r="R277" t="s">
        <v>3922</v>
      </c>
      <c r="S277" t="s">
        <v>43</v>
      </c>
      <c r="T277" t="s">
        <v>3844</v>
      </c>
      <c r="U277" t="s">
        <v>30</v>
      </c>
      <c r="V277" t="s">
        <v>3812</v>
      </c>
      <c r="W277" s="88" t="s">
        <v>4034</v>
      </c>
    </row>
    <row r="278" spans="1:23" ht="14.4">
      <c r="A278" s="7" t="s">
        <v>103</v>
      </c>
      <c r="B278" t="s">
        <v>25</v>
      </c>
      <c r="C278" t="s">
        <v>26</v>
      </c>
      <c r="D278" s="7" t="s">
        <v>968</v>
      </c>
      <c r="E278" s="7" t="s">
        <v>969</v>
      </c>
      <c r="F278" s="7" t="s">
        <v>970</v>
      </c>
      <c r="G278" s="7" t="s">
        <v>2584</v>
      </c>
      <c r="H278" s="85" t="s">
        <v>3148</v>
      </c>
      <c r="I278" s="85" t="s">
        <v>2716</v>
      </c>
      <c r="J278" s="85" t="s">
        <v>3149</v>
      </c>
      <c r="K278" s="85" t="s">
        <v>16</v>
      </c>
      <c r="L278" s="85">
        <v>3</v>
      </c>
      <c r="M278" s="20">
        <f>Table9[[#This Row],[Rate
(Please Select from the list)]]/5</f>
        <v>0.6</v>
      </c>
      <c r="N278" s="73">
        <v>2.44</v>
      </c>
      <c r="O278" s="74">
        <f>Table9[[#This Row],[Score %]]*Table9[[#This Row],[Item Weight
(Please Select from the list)]]</f>
        <v>1.464</v>
      </c>
      <c r="P278" s="80">
        <v>3</v>
      </c>
      <c r="Q278" t="s">
        <v>59</v>
      </c>
      <c r="R278"/>
      <c r="S278" t="s">
        <v>43</v>
      </c>
      <c r="T278"/>
      <c r="U278" t="s">
        <v>44</v>
      </c>
      <c r="V278" t="s">
        <v>3815</v>
      </c>
      <c r="W278" s="88" t="s">
        <v>4034</v>
      </c>
    </row>
    <row r="279" spans="1:23" ht="14.4">
      <c r="A279" s="7" t="s">
        <v>103</v>
      </c>
      <c r="B279" t="s">
        <v>25</v>
      </c>
      <c r="C279" t="s">
        <v>26</v>
      </c>
      <c r="D279" s="7" t="s">
        <v>971</v>
      </c>
      <c r="E279" s="7" t="s">
        <v>972</v>
      </c>
      <c r="F279" s="7" t="s">
        <v>973</v>
      </c>
      <c r="G279" s="7" t="s">
        <v>2584</v>
      </c>
      <c r="H279" s="85" t="s">
        <v>3150</v>
      </c>
      <c r="I279" s="85" t="s">
        <v>2748</v>
      </c>
      <c r="J279" s="85" t="s">
        <v>3151</v>
      </c>
      <c r="K279" s="85" t="s">
        <v>16</v>
      </c>
      <c r="L279" s="85">
        <v>3</v>
      </c>
      <c r="M279" s="20">
        <f>Table9[[#This Row],[Rate
(Please Select from the list)]]/5</f>
        <v>0.6</v>
      </c>
      <c r="N279" s="73">
        <v>2.44</v>
      </c>
      <c r="O279" s="74">
        <f>Table9[[#This Row],[Score %]]*Table9[[#This Row],[Item Weight
(Please Select from the list)]]</f>
        <v>1.464</v>
      </c>
      <c r="P279" s="80">
        <v>3</v>
      </c>
      <c r="Q279" t="s">
        <v>46</v>
      </c>
      <c r="R279"/>
      <c r="S279" t="s">
        <v>43</v>
      </c>
      <c r="T279"/>
      <c r="U279" t="s">
        <v>58</v>
      </c>
      <c r="V279" t="s">
        <v>3813</v>
      </c>
      <c r="W279" s="88" t="s">
        <v>4034</v>
      </c>
    </row>
    <row r="280" spans="1:23" ht="14.4">
      <c r="A280" s="7" t="s">
        <v>103</v>
      </c>
      <c r="B280" t="s">
        <v>25</v>
      </c>
      <c r="C280" t="s">
        <v>26</v>
      </c>
      <c r="D280" s="7" t="s">
        <v>974</v>
      </c>
      <c r="E280" s="7" t="s">
        <v>975</v>
      </c>
      <c r="F280" s="7" t="s">
        <v>976</v>
      </c>
      <c r="G280" s="7" t="s">
        <v>2584</v>
      </c>
      <c r="H280" s="85" t="s">
        <v>3152</v>
      </c>
      <c r="I280" s="85" t="s">
        <v>2725</v>
      </c>
      <c r="J280" s="85"/>
      <c r="K280" s="85" t="s">
        <v>47</v>
      </c>
      <c r="L280" s="85">
        <v>4</v>
      </c>
      <c r="M280" s="20">
        <f>Table9[[#This Row],[Rate
(Please Select from the list)]]/5</f>
        <v>0.8</v>
      </c>
      <c r="N280" s="73">
        <v>2.44</v>
      </c>
      <c r="O280" s="74">
        <f>Table9[[#This Row],[Score %]]*Table9[[#This Row],[Item Weight
(Please Select from the list)]]</f>
        <v>1.952</v>
      </c>
      <c r="P280" s="80">
        <v>3</v>
      </c>
      <c r="Q280" t="s">
        <v>59</v>
      </c>
      <c r="R280"/>
      <c r="S280" t="s">
        <v>57</v>
      </c>
      <c r="T280"/>
      <c r="U280" t="s">
        <v>58</v>
      </c>
      <c r="V280" t="s">
        <v>3812</v>
      </c>
      <c r="W280" s="88" t="s">
        <v>4034</v>
      </c>
    </row>
    <row r="281" spans="1:23" ht="14.4">
      <c r="A281" s="7" t="s">
        <v>103</v>
      </c>
      <c r="B281" t="s">
        <v>25</v>
      </c>
      <c r="C281" t="s">
        <v>26</v>
      </c>
      <c r="D281" s="7" t="s">
        <v>977</v>
      </c>
      <c r="E281" s="7" t="s">
        <v>978</v>
      </c>
      <c r="F281" s="7" t="s">
        <v>979</v>
      </c>
      <c r="G281" s="7" t="s">
        <v>2584</v>
      </c>
      <c r="H281" s="85" t="s">
        <v>3153</v>
      </c>
      <c r="I281" s="85" t="s">
        <v>2739</v>
      </c>
      <c r="J281" s="85"/>
      <c r="K281" s="85" t="s">
        <v>855</v>
      </c>
      <c r="L281" s="85">
        <v>5</v>
      </c>
      <c r="M281" s="20">
        <f>Table9[[#This Row],[Rate
(Please Select from the list)]]/5</f>
        <v>1</v>
      </c>
      <c r="N281" s="73">
        <v>2.44</v>
      </c>
      <c r="O281" s="74">
        <f>Table9[[#This Row],[Score %]]*Table9[[#This Row],[Item Weight
(Please Select from the list)]]</f>
        <v>2.44</v>
      </c>
      <c r="P281" s="80">
        <v>3</v>
      </c>
      <c r="Q281" t="s">
        <v>59</v>
      </c>
      <c r="R281"/>
      <c r="S281" t="s">
        <v>57</v>
      </c>
      <c r="T281"/>
      <c r="U281" t="s">
        <v>44</v>
      </c>
      <c r="V281" t="s">
        <v>3851</v>
      </c>
      <c r="W281" s="88" t="s">
        <v>4034</v>
      </c>
    </row>
    <row r="282" spans="1:23" ht="14.4">
      <c r="A282" s="7" t="s">
        <v>103</v>
      </c>
      <c r="B282" t="s">
        <v>25</v>
      </c>
      <c r="C282" t="s">
        <v>26</v>
      </c>
      <c r="D282" s="7" t="s">
        <v>980</v>
      </c>
      <c r="E282" s="7" t="s">
        <v>981</v>
      </c>
      <c r="F282" s="7" t="s">
        <v>982</v>
      </c>
      <c r="G282" s="7" t="s">
        <v>2584</v>
      </c>
      <c r="H282" s="85" t="s">
        <v>3154</v>
      </c>
      <c r="I282" s="85" t="s">
        <v>2725</v>
      </c>
      <c r="J282" s="85" t="s">
        <v>3155</v>
      </c>
      <c r="K282" s="85" t="s">
        <v>16</v>
      </c>
      <c r="L282" s="85">
        <v>2</v>
      </c>
      <c r="M282" s="20">
        <f>Table9[[#This Row],[Rate
(Please Select from the list)]]/5</f>
        <v>0.4</v>
      </c>
      <c r="N282" s="73">
        <v>2.44</v>
      </c>
      <c r="O282" s="74">
        <f>Table9[[#This Row],[Score %]]*Table9[[#This Row],[Item Weight
(Please Select from the list)]]</f>
        <v>0.97599999999999998</v>
      </c>
      <c r="P282" s="80">
        <v>3</v>
      </c>
      <c r="Q282" t="s">
        <v>59</v>
      </c>
      <c r="R282" t="s">
        <v>3923</v>
      </c>
      <c r="S282" t="s">
        <v>13</v>
      </c>
      <c r="T282" t="s">
        <v>3820</v>
      </c>
      <c r="U282" t="s">
        <v>14</v>
      </c>
      <c r="V282" t="s">
        <v>3834</v>
      </c>
      <c r="W282" s="88" t="s">
        <v>4034</v>
      </c>
    </row>
    <row r="283" spans="1:23" ht="14.4">
      <c r="A283" s="7" t="s">
        <v>103</v>
      </c>
      <c r="B283" t="s">
        <v>25</v>
      </c>
      <c r="C283" t="s">
        <v>26</v>
      </c>
      <c r="D283" s="7" t="s">
        <v>983</v>
      </c>
      <c r="E283" s="7" t="s">
        <v>984</v>
      </c>
      <c r="F283" s="7" t="s">
        <v>985</v>
      </c>
      <c r="G283" s="7" t="s">
        <v>2584</v>
      </c>
      <c r="H283" s="85" t="s">
        <v>3156</v>
      </c>
      <c r="I283" s="85" t="s">
        <v>2725</v>
      </c>
      <c r="J283" s="85" t="s">
        <v>3157</v>
      </c>
      <c r="K283" s="85" t="s">
        <v>16</v>
      </c>
      <c r="L283" s="85">
        <v>3</v>
      </c>
      <c r="M283" s="20">
        <f>Table9[[#This Row],[Rate
(Please Select from the list)]]/5</f>
        <v>0.6</v>
      </c>
      <c r="N283" s="73">
        <v>4.07</v>
      </c>
      <c r="O283" s="74">
        <f>Table9[[#This Row],[Score %]]*Table9[[#This Row],[Item Weight
(Please Select from the list)]]</f>
        <v>2.4420000000000002</v>
      </c>
      <c r="P283" s="80">
        <v>5</v>
      </c>
      <c r="Q283" t="s">
        <v>31</v>
      </c>
      <c r="R283"/>
      <c r="S283" t="s">
        <v>43</v>
      </c>
      <c r="T283"/>
      <c r="U283" t="s">
        <v>44</v>
      </c>
      <c r="V283" t="s">
        <v>3825</v>
      </c>
      <c r="W283" s="88" t="s">
        <v>4034</v>
      </c>
    </row>
    <row r="284" spans="1:23" ht="14.4">
      <c r="A284" s="7" t="s">
        <v>103</v>
      </c>
      <c r="B284" t="s">
        <v>25</v>
      </c>
      <c r="C284" t="s">
        <v>26</v>
      </c>
      <c r="D284" s="7" t="s">
        <v>986</v>
      </c>
      <c r="E284" s="7" t="s">
        <v>987</v>
      </c>
      <c r="F284" s="7" t="s">
        <v>988</v>
      </c>
      <c r="G284" s="7" t="s">
        <v>2584</v>
      </c>
      <c r="H284" s="85" t="s">
        <v>3158</v>
      </c>
      <c r="I284" s="85" t="s">
        <v>2739</v>
      </c>
      <c r="J284" s="85" t="s">
        <v>3159</v>
      </c>
      <c r="K284" s="85" t="s">
        <v>16</v>
      </c>
      <c r="L284" s="85">
        <v>3</v>
      </c>
      <c r="M284" s="20">
        <f>Table9[[#This Row],[Rate
(Please Select from the list)]]/5</f>
        <v>0.6</v>
      </c>
      <c r="N284" s="73">
        <v>2.44</v>
      </c>
      <c r="O284" s="74">
        <f>Table9[[#This Row],[Score %]]*Table9[[#This Row],[Item Weight
(Please Select from the list)]]</f>
        <v>1.464</v>
      </c>
      <c r="P284" s="80">
        <v>3</v>
      </c>
      <c r="Q284" t="s">
        <v>46</v>
      </c>
      <c r="R284" t="s">
        <v>3924</v>
      </c>
      <c r="S284" t="s">
        <v>29</v>
      </c>
      <c r="T284" s="86">
        <v>45421</v>
      </c>
      <c r="U284" t="s">
        <v>14</v>
      </c>
      <c r="V284" t="s">
        <v>3839</v>
      </c>
      <c r="W284" s="88" t="s">
        <v>4034</v>
      </c>
    </row>
    <row r="285" spans="1:23" ht="14.4">
      <c r="A285" s="7" t="s">
        <v>103</v>
      </c>
      <c r="B285" t="s">
        <v>25</v>
      </c>
      <c r="C285" t="s">
        <v>26</v>
      </c>
      <c r="D285" s="7" t="s">
        <v>989</v>
      </c>
      <c r="E285" s="7" t="s">
        <v>990</v>
      </c>
      <c r="F285" s="7" t="s">
        <v>991</v>
      </c>
      <c r="G285" s="7" t="s">
        <v>2584</v>
      </c>
      <c r="H285" s="85" t="s">
        <v>3160</v>
      </c>
      <c r="I285" s="85" t="s">
        <v>2748</v>
      </c>
      <c r="J285" s="85" t="s">
        <v>3161</v>
      </c>
      <c r="K285" s="85" t="s">
        <v>16</v>
      </c>
      <c r="L285" s="85">
        <v>3</v>
      </c>
      <c r="M285" s="20">
        <f>Table9[[#This Row],[Rate
(Please Select from the list)]]/5</f>
        <v>0.6</v>
      </c>
      <c r="N285" s="73">
        <v>2.44</v>
      </c>
      <c r="O285" s="74">
        <f>Table9[[#This Row],[Score %]]*Table9[[#This Row],[Item Weight
(Please Select from the list)]]</f>
        <v>1.464</v>
      </c>
      <c r="P285" s="80">
        <v>3</v>
      </c>
      <c r="Q285" t="s">
        <v>46</v>
      </c>
      <c r="R285"/>
      <c r="S285" t="s">
        <v>43</v>
      </c>
      <c r="T285"/>
      <c r="U285" t="s">
        <v>58</v>
      </c>
      <c r="V285" t="s">
        <v>3813</v>
      </c>
      <c r="W285" s="88" t="s">
        <v>4034</v>
      </c>
    </row>
    <row r="286" spans="1:23" ht="14.4">
      <c r="A286" s="7" t="s">
        <v>103</v>
      </c>
      <c r="B286" t="s">
        <v>25</v>
      </c>
      <c r="C286" t="s">
        <v>26</v>
      </c>
      <c r="D286" s="7" t="s">
        <v>992</v>
      </c>
      <c r="E286" s="7" t="s">
        <v>993</v>
      </c>
      <c r="F286" s="7" t="s">
        <v>994</v>
      </c>
      <c r="G286" s="7" t="s">
        <v>2584</v>
      </c>
      <c r="H286" s="85" t="s">
        <v>3162</v>
      </c>
      <c r="I286" s="85" t="s">
        <v>2795</v>
      </c>
      <c r="J286" s="85"/>
      <c r="K286" s="85" t="s">
        <v>855</v>
      </c>
      <c r="L286" s="85">
        <v>4</v>
      </c>
      <c r="M286" s="20">
        <f>Table9[[#This Row],[Rate
(Please Select from the list)]]/5</f>
        <v>0.8</v>
      </c>
      <c r="N286" s="73">
        <v>2.44</v>
      </c>
      <c r="O286" s="74">
        <f>Table9[[#This Row],[Score %]]*Table9[[#This Row],[Item Weight
(Please Select from the list)]]</f>
        <v>1.952</v>
      </c>
      <c r="P286" s="80">
        <v>3</v>
      </c>
      <c r="Q286" t="s">
        <v>31</v>
      </c>
      <c r="R286" t="s">
        <v>3925</v>
      </c>
      <c r="S286" t="s">
        <v>43</v>
      </c>
      <c r="T286" t="s">
        <v>3844</v>
      </c>
      <c r="U286" t="s">
        <v>30</v>
      </c>
      <c r="V286" t="s">
        <v>3812</v>
      </c>
      <c r="W286" s="88" t="s">
        <v>4034</v>
      </c>
    </row>
    <row r="287" spans="1:23" ht="14.4">
      <c r="A287" s="7" t="s">
        <v>103</v>
      </c>
      <c r="B287" t="s">
        <v>25</v>
      </c>
      <c r="C287" t="s">
        <v>26</v>
      </c>
      <c r="D287" s="7" t="s">
        <v>995</v>
      </c>
      <c r="E287" s="7" t="s">
        <v>996</v>
      </c>
      <c r="F287" s="7" t="s">
        <v>997</v>
      </c>
      <c r="G287" s="7" t="s">
        <v>2584</v>
      </c>
      <c r="H287" s="85" t="s">
        <v>3163</v>
      </c>
      <c r="I287" s="85" t="s">
        <v>2795</v>
      </c>
      <c r="J287" s="85" t="s">
        <v>3164</v>
      </c>
      <c r="K287" s="85" t="s">
        <v>16</v>
      </c>
      <c r="L287" s="85">
        <v>3</v>
      </c>
      <c r="M287" s="20">
        <f>Table9[[#This Row],[Rate
(Please Select from the list)]]/5</f>
        <v>0.6</v>
      </c>
      <c r="N287" s="73">
        <v>4.07</v>
      </c>
      <c r="O287" s="74">
        <f>Table9[[#This Row],[Score %]]*Table9[[#This Row],[Item Weight
(Please Select from the list)]]</f>
        <v>2.4420000000000002</v>
      </c>
      <c r="P287" s="80">
        <v>5</v>
      </c>
      <c r="Q287" t="s">
        <v>46</v>
      </c>
      <c r="R287"/>
      <c r="S287" t="s">
        <v>43</v>
      </c>
      <c r="T287"/>
      <c r="U287" t="s">
        <v>58</v>
      </c>
      <c r="V287" t="s">
        <v>3813</v>
      </c>
      <c r="W287" s="88" t="s">
        <v>4034</v>
      </c>
    </row>
    <row r="288" spans="1:23" ht="14.4">
      <c r="A288" s="7" t="s">
        <v>103</v>
      </c>
      <c r="B288" t="s">
        <v>25</v>
      </c>
      <c r="C288" t="s">
        <v>26</v>
      </c>
      <c r="D288" s="7" t="s">
        <v>998</v>
      </c>
      <c r="E288" s="7" t="s">
        <v>999</v>
      </c>
      <c r="F288" s="7" t="s">
        <v>1000</v>
      </c>
      <c r="G288" s="7" t="s">
        <v>2584</v>
      </c>
      <c r="H288" s="85" t="s">
        <v>3165</v>
      </c>
      <c r="I288" s="85" t="s">
        <v>2736</v>
      </c>
      <c r="J288" s="85"/>
      <c r="K288" s="85" t="s">
        <v>47</v>
      </c>
      <c r="L288" s="85">
        <v>4</v>
      </c>
      <c r="M288" s="20">
        <f>Table9[[#This Row],[Rate
(Please Select from the list)]]/5</f>
        <v>0.8</v>
      </c>
      <c r="N288" s="73">
        <v>4.07</v>
      </c>
      <c r="O288" s="74">
        <f>Table9[[#This Row],[Score %]]*Table9[[#This Row],[Item Weight
(Please Select from the list)]]</f>
        <v>3.2560000000000002</v>
      </c>
      <c r="P288" s="80">
        <v>5</v>
      </c>
      <c r="Q288" t="s">
        <v>46</v>
      </c>
      <c r="R288"/>
      <c r="S288" t="s">
        <v>57</v>
      </c>
      <c r="T288"/>
      <c r="U288" t="s">
        <v>58</v>
      </c>
      <c r="V288" t="s">
        <v>3812</v>
      </c>
      <c r="W288" s="88" t="s">
        <v>4034</v>
      </c>
    </row>
    <row r="289" spans="1:23" ht="14.4">
      <c r="A289" s="7" t="s">
        <v>103</v>
      </c>
      <c r="B289" t="s">
        <v>25</v>
      </c>
      <c r="C289" t="s">
        <v>26</v>
      </c>
      <c r="D289" s="7" t="s">
        <v>1001</v>
      </c>
      <c r="E289" s="7" t="s">
        <v>1002</v>
      </c>
      <c r="F289" s="7" t="s">
        <v>1003</v>
      </c>
      <c r="G289" s="7" t="s">
        <v>2584</v>
      </c>
      <c r="H289" s="85" t="s">
        <v>3166</v>
      </c>
      <c r="I289" s="85" t="s">
        <v>2754</v>
      </c>
      <c r="J289" s="85"/>
      <c r="K289" s="85" t="s">
        <v>16</v>
      </c>
      <c r="L289" s="85">
        <v>4</v>
      </c>
      <c r="M289" s="20">
        <f>Table9[[#This Row],[Rate
(Please Select from the list)]]/5</f>
        <v>0.8</v>
      </c>
      <c r="N289" s="73">
        <v>2.44</v>
      </c>
      <c r="O289" s="74">
        <f>Table9[[#This Row],[Score %]]*Table9[[#This Row],[Item Weight
(Please Select from the list)]]</f>
        <v>1.952</v>
      </c>
      <c r="P289" s="80">
        <v>3</v>
      </c>
      <c r="Q289" t="s">
        <v>15</v>
      </c>
      <c r="R289"/>
      <c r="S289" t="s">
        <v>57</v>
      </c>
      <c r="T289"/>
      <c r="U289" t="s">
        <v>58</v>
      </c>
      <c r="V289" t="s">
        <v>3812</v>
      </c>
      <c r="W289" s="88" t="s">
        <v>4034</v>
      </c>
    </row>
    <row r="290" spans="1:23" ht="14.4">
      <c r="A290" s="7" t="s">
        <v>103</v>
      </c>
      <c r="B290" t="s">
        <v>25</v>
      </c>
      <c r="C290" t="s">
        <v>26</v>
      </c>
      <c r="D290" s="7" t="s">
        <v>1004</v>
      </c>
      <c r="E290" s="7" t="s">
        <v>1005</v>
      </c>
      <c r="F290" s="7" t="s">
        <v>1006</v>
      </c>
      <c r="G290" s="7" t="s">
        <v>2584</v>
      </c>
      <c r="H290" s="85" t="s">
        <v>3167</v>
      </c>
      <c r="I290" s="85" t="s">
        <v>2718</v>
      </c>
      <c r="J290" s="85"/>
      <c r="K290" s="85" t="s">
        <v>16</v>
      </c>
      <c r="L290" s="85">
        <v>4</v>
      </c>
      <c r="M290" s="20">
        <f>Table9[[#This Row],[Rate
(Please Select from the list)]]/5</f>
        <v>0.8</v>
      </c>
      <c r="N290" s="73">
        <v>2.44</v>
      </c>
      <c r="O290" s="74">
        <f>Table9[[#This Row],[Score %]]*Table9[[#This Row],[Item Weight
(Please Select from the list)]]</f>
        <v>1.952</v>
      </c>
      <c r="P290" s="80">
        <v>3</v>
      </c>
      <c r="Q290" t="s">
        <v>46</v>
      </c>
      <c r="R290"/>
      <c r="S290" t="s">
        <v>57</v>
      </c>
      <c r="T290"/>
      <c r="U290" t="s">
        <v>58</v>
      </c>
      <c r="V290" t="s">
        <v>3812</v>
      </c>
      <c r="W290" s="88" t="s">
        <v>4034</v>
      </c>
    </row>
    <row r="291" spans="1:23" ht="14.4">
      <c r="A291" s="7" t="s">
        <v>103</v>
      </c>
      <c r="B291" t="s">
        <v>25</v>
      </c>
      <c r="C291" t="s">
        <v>26</v>
      </c>
      <c r="D291" s="7" t="s">
        <v>1007</v>
      </c>
      <c r="E291" s="7" t="s">
        <v>1008</v>
      </c>
      <c r="F291" s="7" t="s">
        <v>1009</v>
      </c>
      <c r="G291" s="7" t="s">
        <v>2584</v>
      </c>
      <c r="H291" s="85" t="s">
        <v>3168</v>
      </c>
      <c r="I291" s="85" t="s">
        <v>2725</v>
      </c>
      <c r="J291" s="85" t="s">
        <v>3169</v>
      </c>
      <c r="K291" s="85" t="s">
        <v>16</v>
      </c>
      <c r="L291" s="85">
        <v>3</v>
      </c>
      <c r="M291" s="20">
        <f>Table9[[#This Row],[Rate
(Please Select from the list)]]/5</f>
        <v>0.6</v>
      </c>
      <c r="N291" s="73">
        <v>2.44</v>
      </c>
      <c r="O291" s="74">
        <f>Table9[[#This Row],[Score %]]*Table9[[#This Row],[Item Weight
(Please Select from the list)]]</f>
        <v>1.464</v>
      </c>
      <c r="P291" s="80">
        <v>3</v>
      </c>
      <c r="Q291" t="s">
        <v>15</v>
      </c>
      <c r="R291" t="s">
        <v>3926</v>
      </c>
      <c r="S291" t="s">
        <v>29</v>
      </c>
      <c r="T291" s="86">
        <v>45421</v>
      </c>
      <c r="U291" t="s">
        <v>30</v>
      </c>
      <c r="V291" t="s">
        <v>3839</v>
      </c>
      <c r="W291" s="88" t="s">
        <v>4034</v>
      </c>
    </row>
    <row r="292" spans="1:23" ht="14.4">
      <c r="A292" s="7" t="s">
        <v>103</v>
      </c>
      <c r="B292" t="s">
        <v>25</v>
      </c>
      <c r="C292" t="s">
        <v>26</v>
      </c>
      <c r="D292" s="7" t="s">
        <v>1010</v>
      </c>
      <c r="E292" s="7" t="s">
        <v>1011</v>
      </c>
      <c r="F292" s="7" t="s">
        <v>1012</v>
      </c>
      <c r="G292" s="7" t="s">
        <v>2584</v>
      </c>
      <c r="H292" s="85" t="s">
        <v>3170</v>
      </c>
      <c r="I292" s="85" t="s">
        <v>2754</v>
      </c>
      <c r="J292" s="85" t="s">
        <v>3171</v>
      </c>
      <c r="K292" s="85" t="s">
        <v>16</v>
      </c>
      <c r="L292" s="85">
        <v>3</v>
      </c>
      <c r="M292" s="20">
        <f>Table9[[#This Row],[Rate
(Please Select from the list)]]/5</f>
        <v>0.6</v>
      </c>
      <c r="N292" s="73">
        <v>4.07</v>
      </c>
      <c r="O292" s="74">
        <f>Table9[[#This Row],[Score %]]*Table9[[#This Row],[Item Weight
(Please Select from the list)]]</f>
        <v>2.4420000000000002</v>
      </c>
      <c r="P292" s="80">
        <v>5</v>
      </c>
      <c r="Q292" t="s">
        <v>46</v>
      </c>
      <c r="R292"/>
      <c r="S292" t="s">
        <v>43</v>
      </c>
      <c r="T292"/>
      <c r="U292" t="s">
        <v>44</v>
      </c>
      <c r="V292" t="s">
        <v>3817</v>
      </c>
      <c r="W292" s="88" t="s">
        <v>4034</v>
      </c>
    </row>
    <row r="293" spans="1:23" ht="14.4">
      <c r="A293" s="7" t="s">
        <v>103</v>
      </c>
      <c r="B293" t="s">
        <v>25</v>
      </c>
      <c r="C293" t="s">
        <v>26</v>
      </c>
      <c r="D293" s="7" t="s">
        <v>1013</v>
      </c>
      <c r="E293" s="7" t="s">
        <v>1014</v>
      </c>
      <c r="F293" s="7" t="s">
        <v>1015</v>
      </c>
      <c r="G293" s="7" t="s">
        <v>2584</v>
      </c>
      <c r="H293" s="85" t="s">
        <v>3172</v>
      </c>
      <c r="I293" s="85" t="s">
        <v>2728</v>
      </c>
      <c r="J293" s="85"/>
      <c r="K293" s="85" t="s">
        <v>47</v>
      </c>
      <c r="L293" s="85">
        <v>4</v>
      </c>
      <c r="M293" s="20">
        <f>Table9[[#This Row],[Rate
(Please Select from the list)]]/5</f>
        <v>0.8</v>
      </c>
      <c r="N293" s="73">
        <v>4.07</v>
      </c>
      <c r="O293" s="74">
        <f>Table9[[#This Row],[Score %]]*Table9[[#This Row],[Item Weight
(Please Select from the list)]]</f>
        <v>3.2560000000000002</v>
      </c>
      <c r="P293" s="80">
        <v>5</v>
      </c>
      <c r="Q293" t="s">
        <v>15</v>
      </c>
      <c r="R293"/>
      <c r="S293" t="s">
        <v>57</v>
      </c>
      <c r="T293"/>
      <c r="U293" t="s">
        <v>44</v>
      </c>
      <c r="V293" t="s">
        <v>3812</v>
      </c>
      <c r="W293" s="88" t="s">
        <v>4034</v>
      </c>
    </row>
    <row r="294" spans="1:23" ht="14.4">
      <c r="A294" s="7" t="s">
        <v>103</v>
      </c>
      <c r="B294" t="s">
        <v>25</v>
      </c>
      <c r="C294" t="s">
        <v>26</v>
      </c>
      <c r="D294" s="7" t="s">
        <v>1016</v>
      </c>
      <c r="E294" s="7" t="s">
        <v>1017</v>
      </c>
      <c r="F294" s="7" t="s">
        <v>907</v>
      </c>
      <c r="G294" s="7" t="s">
        <v>2584</v>
      </c>
      <c r="H294" s="85" t="s">
        <v>3173</v>
      </c>
      <c r="I294" s="85" t="s">
        <v>2795</v>
      </c>
      <c r="J294" s="85" t="s">
        <v>3174</v>
      </c>
      <c r="K294" s="85" t="s">
        <v>16</v>
      </c>
      <c r="L294" s="85">
        <v>2</v>
      </c>
      <c r="M294" s="20">
        <f>Table9[[#This Row],[Rate
(Please Select from the list)]]/5</f>
        <v>0.4</v>
      </c>
      <c r="N294" s="73">
        <v>4.07</v>
      </c>
      <c r="O294" s="74">
        <f>Table9[[#This Row],[Score %]]*Table9[[#This Row],[Item Weight
(Please Select from the list)]]</f>
        <v>1.6280000000000001</v>
      </c>
      <c r="P294" s="80">
        <v>5</v>
      </c>
      <c r="Q294" t="s">
        <v>46</v>
      </c>
      <c r="R294" t="s">
        <v>3927</v>
      </c>
      <c r="S294" t="s">
        <v>29</v>
      </c>
      <c r="T294" s="86">
        <v>45421</v>
      </c>
      <c r="U294" t="s">
        <v>14</v>
      </c>
      <c r="V294" t="s">
        <v>3859</v>
      </c>
      <c r="W294" s="88" t="s">
        <v>4034</v>
      </c>
    </row>
    <row r="295" spans="1:23" ht="14.4">
      <c r="A295" s="7" t="s">
        <v>103</v>
      </c>
      <c r="B295" t="s">
        <v>25</v>
      </c>
      <c r="C295" t="s">
        <v>26</v>
      </c>
      <c r="D295" s="7" t="s">
        <v>1018</v>
      </c>
      <c r="E295" s="7" t="s">
        <v>1019</v>
      </c>
      <c r="F295" s="7" t="s">
        <v>1020</v>
      </c>
      <c r="G295" s="7" t="s">
        <v>2584</v>
      </c>
      <c r="H295" s="85" t="s">
        <v>3175</v>
      </c>
      <c r="I295" s="85" t="s">
        <v>2739</v>
      </c>
      <c r="J295" s="85"/>
      <c r="K295" s="85" t="s">
        <v>47</v>
      </c>
      <c r="L295" s="85">
        <v>4</v>
      </c>
      <c r="M295" s="20">
        <f>Table9[[#This Row],[Rate
(Please Select from the list)]]/5</f>
        <v>0.8</v>
      </c>
      <c r="N295" s="73">
        <v>2.44</v>
      </c>
      <c r="O295" s="74">
        <f>Table9[[#This Row],[Score %]]*Table9[[#This Row],[Item Weight
(Please Select from the list)]]</f>
        <v>1.952</v>
      </c>
      <c r="P295" s="80">
        <v>3</v>
      </c>
      <c r="Q295" t="s">
        <v>46</v>
      </c>
      <c r="R295"/>
      <c r="S295" t="s">
        <v>43</v>
      </c>
      <c r="T295"/>
      <c r="U295" t="s">
        <v>58</v>
      </c>
      <c r="V295" t="s">
        <v>3812</v>
      </c>
      <c r="W295" s="88" t="s">
        <v>4034</v>
      </c>
    </row>
    <row r="296" spans="1:23" ht="14.4">
      <c r="A296" s="7" t="s">
        <v>103</v>
      </c>
      <c r="B296" t="s">
        <v>25</v>
      </c>
      <c r="C296" t="s">
        <v>26</v>
      </c>
      <c r="D296" s="7" t="s">
        <v>1021</v>
      </c>
      <c r="E296" s="7" t="s">
        <v>1022</v>
      </c>
      <c r="F296" s="7" t="s">
        <v>1023</v>
      </c>
      <c r="G296" s="7" t="s">
        <v>2584</v>
      </c>
      <c r="H296" s="85" t="s">
        <v>3176</v>
      </c>
      <c r="I296" s="85" t="s">
        <v>2795</v>
      </c>
      <c r="J296" s="85"/>
      <c r="K296" s="85" t="s">
        <v>855</v>
      </c>
      <c r="L296" s="85">
        <v>4</v>
      </c>
      <c r="M296" s="20">
        <f>Table9[[#This Row],[Rate
(Please Select from the list)]]/5</f>
        <v>0.8</v>
      </c>
      <c r="N296" s="73">
        <v>2.44</v>
      </c>
      <c r="O296" s="74">
        <f>Table9[[#This Row],[Score %]]*Table9[[#This Row],[Item Weight
(Please Select from the list)]]</f>
        <v>1.952</v>
      </c>
      <c r="P296" s="80">
        <v>3</v>
      </c>
      <c r="Q296" t="s">
        <v>15</v>
      </c>
      <c r="R296"/>
      <c r="S296" t="s">
        <v>57</v>
      </c>
      <c r="T296"/>
      <c r="U296" t="s">
        <v>44</v>
      </c>
      <c r="V296" t="s">
        <v>3812</v>
      </c>
      <c r="W296" s="88" t="s">
        <v>4034</v>
      </c>
    </row>
    <row r="297" spans="1:23" ht="14.4">
      <c r="A297" s="7" t="s">
        <v>103</v>
      </c>
      <c r="B297" t="s">
        <v>25</v>
      </c>
      <c r="C297" t="s">
        <v>26</v>
      </c>
      <c r="D297" s="7" t="s">
        <v>1024</v>
      </c>
      <c r="E297" s="7" t="s">
        <v>1025</v>
      </c>
      <c r="F297" s="7" t="s">
        <v>926</v>
      </c>
      <c r="G297" s="7" t="s">
        <v>2584</v>
      </c>
      <c r="H297" s="85" t="s">
        <v>3177</v>
      </c>
      <c r="I297" s="85" t="s">
        <v>2736</v>
      </c>
      <c r="J297" s="85" t="s">
        <v>3178</v>
      </c>
      <c r="K297" s="85" t="s">
        <v>16</v>
      </c>
      <c r="L297" s="85">
        <v>3</v>
      </c>
      <c r="M297" s="20">
        <f>Table9[[#This Row],[Rate
(Please Select from the list)]]/5</f>
        <v>0.6</v>
      </c>
      <c r="N297" s="73">
        <v>2.44</v>
      </c>
      <c r="O297" s="74">
        <f>Table9[[#This Row],[Score %]]*Table9[[#This Row],[Item Weight
(Please Select from the list)]]</f>
        <v>1.464</v>
      </c>
      <c r="P297" s="80">
        <v>3</v>
      </c>
      <c r="Q297" t="s">
        <v>31</v>
      </c>
      <c r="R297"/>
      <c r="S297" t="s">
        <v>43</v>
      </c>
      <c r="T297"/>
      <c r="U297" t="s">
        <v>58</v>
      </c>
      <c r="V297" t="s">
        <v>3817</v>
      </c>
      <c r="W297" s="88" t="s">
        <v>4034</v>
      </c>
    </row>
    <row r="298" spans="1:23" ht="14.4">
      <c r="A298" s="7" t="s">
        <v>103</v>
      </c>
      <c r="B298" t="s">
        <v>25</v>
      </c>
      <c r="C298" t="s">
        <v>26</v>
      </c>
      <c r="D298" s="7" t="s">
        <v>1026</v>
      </c>
      <c r="E298" s="7" t="s">
        <v>1027</v>
      </c>
      <c r="F298" s="7" t="s">
        <v>1028</v>
      </c>
      <c r="G298" s="7" t="s">
        <v>2584</v>
      </c>
      <c r="H298" s="85" t="s">
        <v>3179</v>
      </c>
      <c r="I298" s="85" t="s">
        <v>2739</v>
      </c>
      <c r="J298" s="85" t="s">
        <v>3180</v>
      </c>
      <c r="K298" s="85" t="s">
        <v>16</v>
      </c>
      <c r="L298" s="85">
        <v>3</v>
      </c>
      <c r="M298" s="20">
        <f>Table9[[#This Row],[Rate
(Please Select from the list)]]/5</f>
        <v>0.6</v>
      </c>
      <c r="N298" s="73">
        <v>4.07</v>
      </c>
      <c r="O298" s="74">
        <f>Table9[[#This Row],[Score %]]*Table9[[#This Row],[Item Weight
(Please Select from the list)]]</f>
        <v>2.4420000000000002</v>
      </c>
      <c r="P298" s="80">
        <v>5</v>
      </c>
      <c r="Q298" t="s">
        <v>46</v>
      </c>
      <c r="R298" t="s">
        <v>3928</v>
      </c>
      <c r="S298" t="s">
        <v>29</v>
      </c>
      <c r="T298" s="86">
        <v>45421</v>
      </c>
      <c r="U298" t="s">
        <v>30</v>
      </c>
      <c r="V298" t="s">
        <v>3839</v>
      </c>
      <c r="W298" s="88" t="s">
        <v>4034</v>
      </c>
    </row>
    <row r="299" spans="1:23" ht="14.4">
      <c r="A299" s="7" t="s">
        <v>103</v>
      </c>
      <c r="B299" t="s">
        <v>25</v>
      </c>
      <c r="C299" t="s">
        <v>26</v>
      </c>
      <c r="D299" s="7" t="s">
        <v>1029</v>
      </c>
      <c r="E299" s="7" t="s">
        <v>1030</v>
      </c>
      <c r="F299" s="7" t="s">
        <v>1031</v>
      </c>
      <c r="G299" s="7" t="s">
        <v>2584</v>
      </c>
      <c r="H299" s="85" t="s">
        <v>3181</v>
      </c>
      <c r="I299" s="85" t="s">
        <v>2718</v>
      </c>
      <c r="J299" s="85"/>
      <c r="K299" s="85" t="s">
        <v>16</v>
      </c>
      <c r="L299" s="85">
        <v>5</v>
      </c>
      <c r="M299" s="20">
        <f>Table9[[#This Row],[Rate
(Please Select from the list)]]/5</f>
        <v>1</v>
      </c>
      <c r="N299" s="73">
        <v>4.07</v>
      </c>
      <c r="O299" s="74">
        <f>Table9[[#This Row],[Score %]]*Table9[[#This Row],[Item Weight
(Please Select from the list)]]</f>
        <v>4.07</v>
      </c>
      <c r="P299" s="80">
        <v>5</v>
      </c>
      <c r="Q299" t="s">
        <v>46</v>
      </c>
      <c r="R299"/>
      <c r="S299" t="s">
        <v>57</v>
      </c>
      <c r="T299"/>
      <c r="U299" t="s">
        <v>44</v>
      </c>
      <c r="V299" t="s">
        <v>3851</v>
      </c>
      <c r="W299" s="88" t="s">
        <v>4034</v>
      </c>
    </row>
    <row r="300" spans="1:23" ht="14.4">
      <c r="A300" s="7" t="s">
        <v>103</v>
      </c>
      <c r="B300" t="s">
        <v>25</v>
      </c>
      <c r="C300" t="s">
        <v>26</v>
      </c>
      <c r="D300" s="7" t="s">
        <v>1032</v>
      </c>
      <c r="E300" s="7" t="s">
        <v>1033</v>
      </c>
      <c r="F300" s="7" t="s">
        <v>834</v>
      </c>
      <c r="G300" s="7" t="s">
        <v>2584</v>
      </c>
      <c r="H300" s="85" t="s">
        <v>3182</v>
      </c>
      <c r="I300" s="85" t="s">
        <v>2718</v>
      </c>
      <c r="J300" s="85" t="s">
        <v>3183</v>
      </c>
      <c r="K300" s="85" t="s">
        <v>16</v>
      </c>
      <c r="L300" s="85">
        <v>3</v>
      </c>
      <c r="M300" s="20">
        <f>Table9[[#This Row],[Rate
(Please Select from the list)]]/5</f>
        <v>0.6</v>
      </c>
      <c r="N300" s="73">
        <v>2.44</v>
      </c>
      <c r="O300" s="74">
        <f>Table9[[#This Row],[Score %]]*Table9[[#This Row],[Item Weight
(Please Select from the list)]]</f>
        <v>1.464</v>
      </c>
      <c r="P300" s="80">
        <v>3</v>
      </c>
      <c r="Q300" t="s">
        <v>46</v>
      </c>
      <c r="R300"/>
      <c r="S300" t="s">
        <v>43</v>
      </c>
      <c r="T300"/>
      <c r="U300" t="s">
        <v>58</v>
      </c>
      <c r="V300" t="s">
        <v>3815</v>
      </c>
      <c r="W300" s="88" t="s">
        <v>4034</v>
      </c>
    </row>
    <row r="301" spans="1:23" ht="14.4">
      <c r="A301" s="7" t="s">
        <v>103</v>
      </c>
      <c r="B301" t="s">
        <v>25</v>
      </c>
      <c r="C301" t="s">
        <v>26</v>
      </c>
      <c r="D301" s="7" t="s">
        <v>1034</v>
      </c>
      <c r="E301" s="7" t="s">
        <v>1035</v>
      </c>
      <c r="F301" s="7" t="s">
        <v>956</v>
      </c>
      <c r="G301" s="7" t="s">
        <v>2584</v>
      </c>
      <c r="H301" s="85" t="s">
        <v>3184</v>
      </c>
      <c r="I301" s="85" t="s">
        <v>2725</v>
      </c>
      <c r="J301" s="85"/>
      <c r="K301" s="85" t="s">
        <v>16</v>
      </c>
      <c r="L301" s="85">
        <v>4</v>
      </c>
      <c r="M301" s="20">
        <f>Table9[[#This Row],[Rate
(Please Select from the list)]]/5</f>
        <v>0.8</v>
      </c>
      <c r="N301" s="73">
        <v>2.44</v>
      </c>
      <c r="O301" s="74">
        <f>Table9[[#This Row],[Score %]]*Table9[[#This Row],[Item Weight
(Please Select from the list)]]</f>
        <v>1.952</v>
      </c>
      <c r="P301" s="80">
        <v>3</v>
      </c>
      <c r="Q301" t="s">
        <v>46</v>
      </c>
      <c r="R301"/>
      <c r="S301" t="s">
        <v>57</v>
      </c>
      <c r="T301"/>
      <c r="U301" t="s">
        <v>58</v>
      </c>
      <c r="V301" t="s">
        <v>3812</v>
      </c>
      <c r="W301" s="88" t="s">
        <v>4034</v>
      </c>
    </row>
    <row r="302" spans="1:23" ht="14.4">
      <c r="A302" s="7" t="s">
        <v>103</v>
      </c>
      <c r="B302" t="s">
        <v>25</v>
      </c>
      <c r="C302" t="s">
        <v>26</v>
      </c>
      <c r="D302" s="7" t="s">
        <v>1036</v>
      </c>
      <c r="E302" s="7" t="s">
        <v>1037</v>
      </c>
      <c r="F302" s="7" t="s">
        <v>1038</v>
      </c>
      <c r="G302" s="7" t="s">
        <v>2584</v>
      </c>
      <c r="H302" s="85" t="s">
        <v>3185</v>
      </c>
      <c r="I302" s="85" t="s">
        <v>2754</v>
      </c>
      <c r="J302" s="85" t="s">
        <v>3186</v>
      </c>
      <c r="K302" s="85" t="s">
        <v>16</v>
      </c>
      <c r="L302" s="85">
        <v>2</v>
      </c>
      <c r="M302" s="20">
        <f>Table9[[#This Row],[Rate
(Please Select from the list)]]/5</f>
        <v>0.4</v>
      </c>
      <c r="N302" s="73">
        <v>2.44</v>
      </c>
      <c r="O302" s="74">
        <f>Table9[[#This Row],[Score %]]*Table9[[#This Row],[Item Weight
(Please Select from the list)]]</f>
        <v>0.97599999999999998</v>
      </c>
      <c r="P302" s="80">
        <v>3</v>
      </c>
      <c r="Q302" t="s">
        <v>46</v>
      </c>
      <c r="R302" t="s">
        <v>3929</v>
      </c>
      <c r="S302" t="s">
        <v>13</v>
      </c>
      <c r="T302" t="s">
        <v>3820</v>
      </c>
      <c r="U302" t="s">
        <v>30</v>
      </c>
      <c r="V302" t="s">
        <v>3823</v>
      </c>
      <c r="W302" s="88" t="s">
        <v>4034</v>
      </c>
    </row>
    <row r="303" spans="1:23" ht="14.4">
      <c r="A303" s="7" t="s">
        <v>103</v>
      </c>
      <c r="B303" t="s">
        <v>25</v>
      </c>
      <c r="C303" t="s">
        <v>26</v>
      </c>
      <c r="D303" s="7" t="s">
        <v>1039</v>
      </c>
      <c r="E303" s="7" t="s">
        <v>1040</v>
      </c>
      <c r="F303" s="7" t="s">
        <v>1041</v>
      </c>
      <c r="G303" s="7" t="s">
        <v>2584</v>
      </c>
      <c r="H303" s="85" t="s">
        <v>3187</v>
      </c>
      <c r="I303" s="85" t="s">
        <v>2716</v>
      </c>
      <c r="J303" s="85"/>
      <c r="K303" s="85" t="s">
        <v>47</v>
      </c>
      <c r="L303" s="85">
        <v>4</v>
      </c>
      <c r="M303" s="20">
        <f>Table9[[#This Row],[Rate
(Please Select from the list)]]/5</f>
        <v>0.8</v>
      </c>
      <c r="N303" s="73">
        <v>2.44</v>
      </c>
      <c r="O303" s="74">
        <f>Table9[[#This Row],[Score %]]*Table9[[#This Row],[Item Weight
(Please Select from the list)]]</f>
        <v>1.952</v>
      </c>
      <c r="P303" s="80">
        <v>3</v>
      </c>
      <c r="Q303" t="s">
        <v>46</v>
      </c>
      <c r="R303"/>
      <c r="S303" t="s">
        <v>57</v>
      </c>
      <c r="T303"/>
      <c r="U303" t="s">
        <v>58</v>
      </c>
      <c r="V303" t="s">
        <v>3812</v>
      </c>
      <c r="W303" s="88" t="s">
        <v>4034</v>
      </c>
    </row>
    <row r="304" spans="1:23" ht="14.4">
      <c r="A304" s="7" t="s">
        <v>103</v>
      </c>
      <c r="B304" t="s">
        <v>25</v>
      </c>
      <c r="C304" t="s">
        <v>26</v>
      </c>
      <c r="D304" s="7" t="s">
        <v>1042</v>
      </c>
      <c r="E304" s="7" t="s">
        <v>897</v>
      </c>
      <c r="F304" s="7" t="s">
        <v>655</v>
      </c>
      <c r="G304" s="7" t="s">
        <v>2584</v>
      </c>
      <c r="H304" s="85" t="s">
        <v>3188</v>
      </c>
      <c r="I304" s="85" t="s">
        <v>2716</v>
      </c>
      <c r="J304" s="85" t="s">
        <v>3189</v>
      </c>
      <c r="K304" s="85" t="s">
        <v>16</v>
      </c>
      <c r="L304" s="85">
        <v>3</v>
      </c>
      <c r="M304" s="20">
        <f>Table9[[#This Row],[Rate
(Please Select from the list)]]/5</f>
        <v>0.6</v>
      </c>
      <c r="N304" s="73">
        <v>2.44</v>
      </c>
      <c r="O304" s="74">
        <f>Table9[[#This Row],[Score %]]*Table9[[#This Row],[Item Weight
(Please Select from the list)]]</f>
        <v>1.464</v>
      </c>
      <c r="P304" s="80">
        <v>3</v>
      </c>
      <c r="Q304" t="s">
        <v>46</v>
      </c>
      <c r="R304"/>
      <c r="S304" t="s">
        <v>43</v>
      </c>
      <c r="T304"/>
      <c r="U304" t="s">
        <v>44</v>
      </c>
      <c r="V304" t="s">
        <v>3813</v>
      </c>
      <c r="W304" s="88" t="s">
        <v>4034</v>
      </c>
    </row>
    <row r="305" spans="1:23" ht="14.4">
      <c r="A305" s="7" t="s">
        <v>103</v>
      </c>
      <c r="B305" t="s">
        <v>25</v>
      </c>
      <c r="C305" t="s">
        <v>26</v>
      </c>
      <c r="D305" s="7" t="s">
        <v>1043</v>
      </c>
      <c r="E305" s="7" t="s">
        <v>732</v>
      </c>
      <c r="F305" s="7" t="s">
        <v>733</v>
      </c>
      <c r="G305" s="7" t="s">
        <v>2584</v>
      </c>
      <c r="H305" s="85" t="s">
        <v>3190</v>
      </c>
      <c r="I305" s="85" t="s">
        <v>2725</v>
      </c>
      <c r="J305" s="85" t="s">
        <v>3191</v>
      </c>
      <c r="K305" s="85" t="s">
        <v>16</v>
      </c>
      <c r="L305" s="85">
        <v>3</v>
      </c>
      <c r="M305" s="20">
        <f>Table9[[#This Row],[Rate
(Please Select from the list)]]/5</f>
        <v>0.6</v>
      </c>
      <c r="N305" s="73">
        <v>2.44</v>
      </c>
      <c r="O305" s="74">
        <f>Table9[[#This Row],[Score %]]*Table9[[#This Row],[Item Weight
(Please Select from the list)]]</f>
        <v>1.464</v>
      </c>
      <c r="P305" s="80">
        <v>3</v>
      </c>
      <c r="Q305" t="s">
        <v>31</v>
      </c>
      <c r="R305" t="s">
        <v>3930</v>
      </c>
      <c r="S305" t="s">
        <v>43</v>
      </c>
      <c r="T305" t="s">
        <v>3844</v>
      </c>
      <c r="U305" t="s">
        <v>30</v>
      </c>
      <c r="V305" t="s">
        <v>3813</v>
      </c>
      <c r="W305" s="88" t="s">
        <v>4034</v>
      </c>
    </row>
    <row r="306" spans="1:23" ht="14.4">
      <c r="A306" s="7" t="s">
        <v>103</v>
      </c>
      <c r="B306" t="s">
        <v>25</v>
      </c>
      <c r="C306" t="s">
        <v>26</v>
      </c>
      <c r="D306" s="7" t="s">
        <v>1044</v>
      </c>
      <c r="E306" s="7" t="s">
        <v>1045</v>
      </c>
      <c r="F306" s="7" t="s">
        <v>736</v>
      </c>
      <c r="G306" s="7" t="s">
        <v>2584</v>
      </c>
      <c r="H306" s="85" t="s">
        <v>3192</v>
      </c>
      <c r="I306" s="85" t="s">
        <v>2739</v>
      </c>
      <c r="J306" s="85"/>
      <c r="K306" s="85" t="s">
        <v>855</v>
      </c>
      <c r="L306" s="85">
        <v>4</v>
      </c>
      <c r="M306" s="20">
        <f>Table9[[#This Row],[Rate
(Please Select from the list)]]/5</f>
        <v>0.8</v>
      </c>
      <c r="N306" s="73">
        <v>2.44</v>
      </c>
      <c r="O306" s="74">
        <f>Table9[[#This Row],[Score %]]*Table9[[#This Row],[Item Weight
(Please Select from the list)]]</f>
        <v>1.952</v>
      </c>
      <c r="P306" s="80">
        <v>3</v>
      </c>
      <c r="Q306" t="s">
        <v>59</v>
      </c>
      <c r="R306"/>
      <c r="S306" t="s">
        <v>57</v>
      </c>
      <c r="T306"/>
      <c r="U306" t="s">
        <v>58</v>
      </c>
      <c r="V306" t="s">
        <v>3812</v>
      </c>
      <c r="W306" s="88" t="s">
        <v>4034</v>
      </c>
    </row>
    <row r="307" spans="1:23" ht="14.4">
      <c r="A307" s="7" t="s">
        <v>103</v>
      </c>
      <c r="B307" t="s">
        <v>25</v>
      </c>
      <c r="C307" t="s">
        <v>26</v>
      </c>
      <c r="D307" s="7" t="s">
        <v>1046</v>
      </c>
      <c r="E307" s="7" t="s">
        <v>1047</v>
      </c>
      <c r="F307" s="7" t="s">
        <v>653</v>
      </c>
      <c r="G307" s="7" t="s">
        <v>2584</v>
      </c>
      <c r="H307" s="85" t="s">
        <v>3193</v>
      </c>
      <c r="I307" s="85" t="s">
        <v>2754</v>
      </c>
      <c r="J307" s="85"/>
      <c r="K307" s="85" t="s">
        <v>47</v>
      </c>
      <c r="L307" s="85">
        <v>4</v>
      </c>
      <c r="M307" s="20">
        <f>Table9[[#This Row],[Rate
(Please Select from the list)]]/5</f>
        <v>0.8</v>
      </c>
      <c r="N307" s="73">
        <v>4.07</v>
      </c>
      <c r="O307" s="74">
        <f>Table9[[#This Row],[Score %]]*Table9[[#This Row],[Item Weight
(Please Select from the list)]]</f>
        <v>3.2560000000000002</v>
      </c>
      <c r="P307" s="80">
        <v>5</v>
      </c>
      <c r="Q307" t="s">
        <v>46</v>
      </c>
      <c r="R307"/>
      <c r="S307" t="s">
        <v>57</v>
      </c>
      <c r="T307"/>
      <c r="U307" t="s">
        <v>58</v>
      </c>
      <c r="V307" t="s">
        <v>3812</v>
      </c>
      <c r="W307" s="88" t="s">
        <v>4034</v>
      </c>
    </row>
    <row r="308" spans="1:23" ht="14.4">
      <c r="A308" s="7" t="s">
        <v>103</v>
      </c>
      <c r="B308" t="s">
        <v>25</v>
      </c>
      <c r="C308" t="s">
        <v>26</v>
      </c>
      <c r="D308" s="7" t="s">
        <v>1048</v>
      </c>
      <c r="E308" s="7" t="s">
        <v>1049</v>
      </c>
      <c r="F308" s="7" t="s">
        <v>941</v>
      </c>
      <c r="G308" s="7" t="s">
        <v>2584</v>
      </c>
      <c r="H308" s="85" t="s">
        <v>3194</v>
      </c>
      <c r="I308" s="85" t="s">
        <v>2718</v>
      </c>
      <c r="J308" s="85" t="s">
        <v>3195</v>
      </c>
      <c r="K308" s="85" t="s">
        <v>16</v>
      </c>
      <c r="L308" s="85">
        <v>3</v>
      </c>
      <c r="M308" s="20">
        <f>Table9[[#This Row],[Rate
(Please Select from the list)]]/5</f>
        <v>0.6</v>
      </c>
      <c r="N308" s="73">
        <v>2.44</v>
      </c>
      <c r="O308" s="74">
        <f>Table9[[#This Row],[Score %]]*Table9[[#This Row],[Item Weight
(Please Select from the list)]]</f>
        <v>1.464</v>
      </c>
      <c r="P308" s="80">
        <v>3</v>
      </c>
      <c r="Q308" t="s">
        <v>31</v>
      </c>
      <c r="R308"/>
      <c r="S308" t="s">
        <v>43</v>
      </c>
      <c r="T308"/>
      <c r="U308" t="s">
        <v>44</v>
      </c>
      <c r="V308" t="s">
        <v>3817</v>
      </c>
      <c r="W308" s="88" t="s">
        <v>4034</v>
      </c>
    </row>
    <row r="309" spans="1:23" ht="14.4">
      <c r="A309" s="7" t="s">
        <v>103</v>
      </c>
      <c r="B309" t="s">
        <v>25</v>
      </c>
      <c r="C309" t="s">
        <v>26</v>
      </c>
      <c r="D309" s="7" t="s">
        <v>1050</v>
      </c>
      <c r="E309" s="7" t="s">
        <v>1051</v>
      </c>
      <c r="F309" s="7" t="s">
        <v>727</v>
      </c>
      <c r="G309" s="7" t="s">
        <v>2584</v>
      </c>
      <c r="H309" s="85" t="s">
        <v>3196</v>
      </c>
      <c r="I309" s="85" t="s">
        <v>2754</v>
      </c>
      <c r="J309" s="85"/>
      <c r="K309" s="85" t="s">
        <v>855</v>
      </c>
      <c r="L309" s="85">
        <v>4</v>
      </c>
      <c r="M309" s="20">
        <f>Table9[[#This Row],[Rate
(Please Select from the list)]]/5</f>
        <v>0.8</v>
      </c>
      <c r="N309" s="73">
        <v>2.44</v>
      </c>
      <c r="O309" s="74">
        <f>Table9[[#This Row],[Score %]]*Table9[[#This Row],[Item Weight
(Please Select from the list)]]</f>
        <v>1.952</v>
      </c>
      <c r="P309" s="80">
        <v>3</v>
      </c>
      <c r="Q309" t="s">
        <v>15</v>
      </c>
      <c r="R309"/>
      <c r="S309" t="s">
        <v>57</v>
      </c>
      <c r="T309"/>
      <c r="U309" t="s">
        <v>44</v>
      </c>
      <c r="V309" t="s">
        <v>3812</v>
      </c>
      <c r="W309" s="88" t="s">
        <v>4034</v>
      </c>
    </row>
    <row r="310" spans="1:23" ht="14.4">
      <c r="A310" s="7" t="s">
        <v>109</v>
      </c>
      <c r="B310" t="s">
        <v>27</v>
      </c>
      <c r="C310" t="s">
        <v>1504</v>
      </c>
      <c r="D310" s="7" t="s">
        <v>1052</v>
      </c>
      <c r="E310" s="7" t="s">
        <v>1053</v>
      </c>
      <c r="F310" s="7" t="s">
        <v>1054</v>
      </c>
      <c r="G310" s="7" t="s">
        <v>2584</v>
      </c>
      <c r="H310" s="85" t="s">
        <v>3197</v>
      </c>
      <c r="I310" s="85" t="s">
        <v>2739</v>
      </c>
      <c r="J310" s="85" t="s">
        <v>3198</v>
      </c>
      <c r="K310" s="85" t="s">
        <v>16</v>
      </c>
      <c r="L310" s="85">
        <v>2</v>
      </c>
      <c r="M310" s="20">
        <f>Table9[[#This Row],[Rate
(Please Select from the list)]]/5</f>
        <v>0.4</v>
      </c>
      <c r="N310" s="73">
        <v>2.61</v>
      </c>
      <c r="O310" s="74">
        <f>Table9[[#This Row],[Score %]]*Table9[[#This Row],[Item Weight
(Please Select from the list)]]</f>
        <v>1.044</v>
      </c>
      <c r="P310" s="80">
        <v>3</v>
      </c>
      <c r="Q310" t="s">
        <v>46</v>
      </c>
      <c r="R310" t="s">
        <v>3931</v>
      </c>
      <c r="S310" t="s">
        <v>29</v>
      </c>
      <c r="T310" s="86">
        <v>45421</v>
      </c>
      <c r="U310" t="s">
        <v>14</v>
      </c>
      <c r="V310" t="s">
        <v>3823</v>
      </c>
      <c r="W310" s="88" t="s">
        <v>4034</v>
      </c>
    </row>
    <row r="311" spans="1:23" ht="14.4">
      <c r="A311" s="7" t="s">
        <v>109</v>
      </c>
      <c r="B311" t="s">
        <v>27</v>
      </c>
      <c r="C311" t="s">
        <v>1504</v>
      </c>
      <c r="D311" s="7" t="s">
        <v>1055</v>
      </c>
      <c r="E311" s="7" t="s">
        <v>1056</v>
      </c>
      <c r="F311" s="7" t="s">
        <v>1057</v>
      </c>
      <c r="G311" s="7" t="s">
        <v>2584</v>
      </c>
      <c r="H311" s="85" t="s">
        <v>3199</v>
      </c>
      <c r="I311" s="85" t="s">
        <v>2795</v>
      </c>
      <c r="J311" s="85"/>
      <c r="K311" s="85" t="s">
        <v>16</v>
      </c>
      <c r="L311" s="85">
        <v>4</v>
      </c>
      <c r="M311" s="20">
        <f>Table9[[#This Row],[Rate
(Please Select from the list)]]/5</f>
        <v>0.8</v>
      </c>
      <c r="N311" s="73">
        <v>2.61</v>
      </c>
      <c r="O311" s="74">
        <f>Table9[[#This Row],[Score %]]*Table9[[#This Row],[Item Weight
(Please Select from the list)]]</f>
        <v>2.0880000000000001</v>
      </c>
      <c r="P311" s="80">
        <v>3</v>
      </c>
      <c r="Q311" t="s">
        <v>59</v>
      </c>
      <c r="R311"/>
      <c r="S311" t="s">
        <v>57</v>
      </c>
      <c r="T311"/>
      <c r="U311" t="s">
        <v>58</v>
      </c>
      <c r="V311" t="s">
        <v>3812</v>
      </c>
      <c r="W311" s="88" t="s">
        <v>4034</v>
      </c>
    </row>
    <row r="312" spans="1:23" ht="14.4">
      <c r="A312" s="7" t="s">
        <v>109</v>
      </c>
      <c r="B312" t="s">
        <v>27</v>
      </c>
      <c r="C312" t="s">
        <v>1504</v>
      </c>
      <c r="D312" s="7" t="s">
        <v>1058</v>
      </c>
      <c r="E312" s="7" t="s">
        <v>1059</v>
      </c>
      <c r="F312" s="7" t="s">
        <v>1060</v>
      </c>
      <c r="G312" s="7" t="s">
        <v>2584</v>
      </c>
      <c r="H312" s="85" t="s">
        <v>3200</v>
      </c>
      <c r="I312" s="85" t="s">
        <v>2731</v>
      </c>
      <c r="J312" s="85"/>
      <c r="K312" s="85" t="s">
        <v>16</v>
      </c>
      <c r="L312" s="85">
        <v>4</v>
      </c>
      <c r="M312" s="20">
        <f>Table9[[#This Row],[Rate
(Please Select from the list)]]/5</f>
        <v>0.8</v>
      </c>
      <c r="N312" s="73">
        <v>2.61</v>
      </c>
      <c r="O312" s="74">
        <f>Table9[[#This Row],[Score %]]*Table9[[#This Row],[Item Weight
(Please Select from the list)]]</f>
        <v>2.0880000000000001</v>
      </c>
      <c r="P312" s="80">
        <v>3</v>
      </c>
      <c r="Q312" t="s">
        <v>46</v>
      </c>
      <c r="R312"/>
      <c r="S312" t="s">
        <v>57</v>
      </c>
      <c r="T312"/>
      <c r="U312" t="s">
        <v>44</v>
      </c>
      <c r="V312" t="s">
        <v>3812</v>
      </c>
      <c r="W312" s="88" t="s">
        <v>4034</v>
      </c>
    </row>
    <row r="313" spans="1:23" ht="14.4">
      <c r="A313" s="7" t="s">
        <v>109</v>
      </c>
      <c r="B313" t="s">
        <v>27</v>
      </c>
      <c r="C313" t="s">
        <v>1504</v>
      </c>
      <c r="D313" s="7" t="s">
        <v>1061</v>
      </c>
      <c r="E313" s="7" t="s">
        <v>1062</v>
      </c>
      <c r="F313" s="7" t="s">
        <v>1063</v>
      </c>
      <c r="G313" s="7" t="s">
        <v>2584</v>
      </c>
      <c r="H313" s="85" t="s">
        <v>3201</v>
      </c>
      <c r="I313" s="85" t="s">
        <v>2739</v>
      </c>
      <c r="J313" s="85"/>
      <c r="K313" s="85" t="s">
        <v>855</v>
      </c>
      <c r="L313" s="85">
        <v>4</v>
      </c>
      <c r="M313" s="20">
        <f>Table9[[#This Row],[Rate
(Please Select from the list)]]/5</f>
        <v>0.8</v>
      </c>
      <c r="N313" s="73">
        <v>2.61</v>
      </c>
      <c r="O313" s="74">
        <f>Table9[[#This Row],[Score %]]*Table9[[#This Row],[Item Weight
(Please Select from the list)]]</f>
        <v>2.0880000000000001</v>
      </c>
      <c r="P313" s="80">
        <v>3</v>
      </c>
      <c r="Q313" t="s">
        <v>15</v>
      </c>
      <c r="R313"/>
      <c r="S313" t="s">
        <v>57</v>
      </c>
      <c r="T313"/>
      <c r="U313" t="s">
        <v>44</v>
      </c>
      <c r="V313" t="s">
        <v>3812</v>
      </c>
      <c r="W313" s="88" t="s">
        <v>4034</v>
      </c>
    </row>
    <row r="314" spans="1:23" ht="14.4">
      <c r="A314" s="7" t="s">
        <v>109</v>
      </c>
      <c r="B314" t="s">
        <v>27</v>
      </c>
      <c r="C314" t="s">
        <v>1504</v>
      </c>
      <c r="D314" s="7" t="s">
        <v>1064</v>
      </c>
      <c r="E314" s="7" t="s">
        <v>1065</v>
      </c>
      <c r="F314" s="7" t="s">
        <v>1066</v>
      </c>
      <c r="G314" s="7" t="s">
        <v>2584</v>
      </c>
      <c r="H314" s="85" t="s">
        <v>3202</v>
      </c>
      <c r="I314" s="85" t="s">
        <v>2748</v>
      </c>
      <c r="J314" s="85" t="s">
        <v>3203</v>
      </c>
      <c r="K314" s="85" t="s">
        <v>16</v>
      </c>
      <c r="L314" s="85">
        <v>3</v>
      </c>
      <c r="M314" s="20">
        <f>Table9[[#This Row],[Rate
(Please Select from the list)]]/5</f>
        <v>0.6</v>
      </c>
      <c r="N314" s="73">
        <v>2.61</v>
      </c>
      <c r="O314" s="74">
        <f>Table9[[#This Row],[Score %]]*Table9[[#This Row],[Item Weight
(Please Select from the list)]]</f>
        <v>1.5659999999999998</v>
      </c>
      <c r="P314" s="80">
        <v>3</v>
      </c>
      <c r="Q314" t="s">
        <v>46</v>
      </c>
      <c r="R314" t="s">
        <v>3932</v>
      </c>
      <c r="S314" t="s">
        <v>29</v>
      </c>
      <c r="T314" s="86">
        <v>45421</v>
      </c>
      <c r="U314" t="s">
        <v>14</v>
      </c>
      <c r="V314" t="s">
        <v>3825</v>
      </c>
      <c r="W314" s="88" t="s">
        <v>4034</v>
      </c>
    </row>
    <row r="315" spans="1:23" ht="14.4">
      <c r="A315" s="7" t="s">
        <v>109</v>
      </c>
      <c r="B315" t="s">
        <v>27</v>
      </c>
      <c r="C315" t="s">
        <v>1504</v>
      </c>
      <c r="D315" s="7" t="s">
        <v>1067</v>
      </c>
      <c r="E315" s="7" t="s">
        <v>1068</v>
      </c>
      <c r="F315" s="7" t="s">
        <v>1069</v>
      </c>
      <c r="G315" s="7" t="s">
        <v>2584</v>
      </c>
      <c r="H315" s="85" t="s">
        <v>3204</v>
      </c>
      <c r="I315" s="85" t="s">
        <v>2736</v>
      </c>
      <c r="J315" s="85" t="s">
        <v>3205</v>
      </c>
      <c r="K315" s="85" t="s">
        <v>16</v>
      </c>
      <c r="L315" s="85">
        <v>2</v>
      </c>
      <c r="M315" s="20">
        <f>Table9[[#This Row],[Rate
(Please Select from the list)]]/5</f>
        <v>0.4</v>
      </c>
      <c r="N315" s="73">
        <v>2.61</v>
      </c>
      <c r="O315" s="74">
        <f>Table9[[#This Row],[Score %]]*Table9[[#This Row],[Item Weight
(Please Select from the list)]]</f>
        <v>1.044</v>
      </c>
      <c r="P315" s="80">
        <v>3</v>
      </c>
      <c r="Q315" t="s">
        <v>46</v>
      </c>
      <c r="R315" t="s">
        <v>3933</v>
      </c>
      <c r="S315" t="s">
        <v>29</v>
      </c>
      <c r="T315" s="86">
        <v>45421</v>
      </c>
      <c r="U315" t="s">
        <v>30</v>
      </c>
      <c r="V315" t="s">
        <v>3834</v>
      </c>
      <c r="W315" s="88" t="s">
        <v>4034</v>
      </c>
    </row>
    <row r="316" spans="1:23" ht="14.4">
      <c r="A316" s="7" t="s">
        <v>109</v>
      </c>
      <c r="B316" t="s">
        <v>27</v>
      </c>
      <c r="C316" t="s">
        <v>1504</v>
      </c>
      <c r="D316" s="7" t="s">
        <v>1070</v>
      </c>
      <c r="E316" s="7" t="s">
        <v>1071</v>
      </c>
      <c r="F316" s="7" t="s">
        <v>1072</v>
      </c>
      <c r="G316" s="7" t="s">
        <v>2584</v>
      </c>
      <c r="H316" s="85" t="s">
        <v>3206</v>
      </c>
      <c r="I316" s="85" t="s">
        <v>2748</v>
      </c>
      <c r="J316" s="85" t="s">
        <v>3207</v>
      </c>
      <c r="K316" s="85" t="s">
        <v>16</v>
      </c>
      <c r="L316" s="85">
        <v>0</v>
      </c>
      <c r="M316" s="20">
        <f>Table9[[#This Row],[Rate
(Please Select from the list)]]/5</f>
        <v>0</v>
      </c>
      <c r="N316" s="73">
        <v>4.3499999999999996</v>
      </c>
      <c r="O316" s="74">
        <f>Table9[[#This Row],[Score %]]*Table9[[#This Row],[Item Weight
(Please Select from the list)]]</f>
        <v>0</v>
      </c>
      <c r="P316" s="80">
        <v>5</v>
      </c>
      <c r="Q316" t="s">
        <v>59</v>
      </c>
      <c r="R316"/>
      <c r="S316" t="s">
        <v>3828</v>
      </c>
      <c r="T316"/>
      <c r="U316" t="s">
        <v>45</v>
      </c>
      <c r="V316" t="s">
        <v>3829</v>
      </c>
      <c r="W316" s="88" t="s">
        <v>4034</v>
      </c>
    </row>
    <row r="317" spans="1:23" ht="14.4">
      <c r="A317" s="7" t="s">
        <v>109</v>
      </c>
      <c r="B317" t="s">
        <v>27</v>
      </c>
      <c r="C317" t="s">
        <v>1504</v>
      </c>
      <c r="D317" s="7" t="s">
        <v>1073</v>
      </c>
      <c r="E317" s="7" t="s">
        <v>1074</v>
      </c>
      <c r="F317" s="7" t="s">
        <v>1075</v>
      </c>
      <c r="G317" s="7" t="s">
        <v>2584</v>
      </c>
      <c r="H317" s="85" t="s">
        <v>3208</v>
      </c>
      <c r="I317" s="85" t="s">
        <v>2795</v>
      </c>
      <c r="J317" s="85" t="s">
        <v>3209</v>
      </c>
      <c r="K317" s="85" t="s">
        <v>16</v>
      </c>
      <c r="L317" s="85">
        <v>3</v>
      </c>
      <c r="M317" s="20">
        <f>Table9[[#This Row],[Rate
(Please Select from the list)]]/5</f>
        <v>0.6</v>
      </c>
      <c r="N317" s="73">
        <v>2.61</v>
      </c>
      <c r="O317" s="74">
        <f>Table9[[#This Row],[Score %]]*Table9[[#This Row],[Item Weight
(Please Select from the list)]]</f>
        <v>1.5659999999999998</v>
      </c>
      <c r="P317" s="80">
        <v>3</v>
      </c>
      <c r="Q317" t="s">
        <v>46</v>
      </c>
      <c r="R317"/>
      <c r="S317" t="s">
        <v>43</v>
      </c>
      <c r="T317"/>
      <c r="U317" t="s">
        <v>58</v>
      </c>
      <c r="V317" t="s">
        <v>3813</v>
      </c>
      <c r="W317" s="88" t="s">
        <v>4034</v>
      </c>
    </row>
    <row r="318" spans="1:23" ht="14.4">
      <c r="A318" s="7" t="s">
        <v>109</v>
      </c>
      <c r="B318" t="s">
        <v>27</v>
      </c>
      <c r="C318" t="s">
        <v>1504</v>
      </c>
      <c r="D318" s="7" t="s">
        <v>1076</v>
      </c>
      <c r="E318" s="7" t="s">
        <v>1077</v>
      </c>
      <c r="F318" s="7" t="s">
        <v>1078</v>
      </c>
      <c r="G318" s="7" t="s">
        <v>2584</v>
      </c>
      <c r="H318" s="85" t="s">
        <v>3210</v>
      </c>
      <c r="I318" s="85" t="s">
        <v>2739</v>
      </c>
      <c r="J318" s="85"/>
      <c r="K318" s="85" t="s">
        <v>855</v>
      </c>
      <c r="L318" s="85">
        <v>5</v>
      </c>
      <c r="M318" s="20">
        <f>Table9[[#This Row],[Rate
(Please Select from the list)]]/5</f>
        <v>1</v>
      </c>
      <c r="N318" s="73">
        <v>4.3499999999999996</v>
      </c>
      <c r="O318" s="74">
        <f>Table9[[#This Row],[Score %]]*Table9[[#This Row],[Item Weight
(Please Select from the list)]]</f>
        <v>4.3499999999999996</v>
      </c>
      <c r="P318" s="80">
        <v>5</v>
      </c>
      <c r="Q318" t="s">
        <v>59</v>
      </c>
      <c r="R318"/>
      <c r="S318" t="s">
        <v>57</v>
      </c>
      <c r="T318"/>
      <c r="U318" t="s">
        <v>44</v>
      </c>
      <c r="V318" t="s">
        <v>3851</v>
      </c>
      <c r="W318" s="88" t="s">
        <v>4034</v>
      </c>
    </row>
    <row r="319" spans="1:23" ht="14.4">
      <c r="A319" s="7" t="s">
        <v>109</v>
      </c>
      <c r="B319" t="s">
        <v>27</v>
      </c>
      <c r="C319" t="s">
        <v>1504</v>
      </c>
      <c r="D319" s="7" t="s">
        <v>1079</v>
      </c>
      <c r="E319" s="7" t="s">
        <v>1080</v>
      </c>
      <c r="F319" s="7" t="s">
        <v>1081</v>
      </c>
      <c r="G319" s="7" t="s">
        <v>2584</v>
      </c>
      <c r="H319" s="85" t="s">
        <v>3211</v>
      </c>
      <c r="I319" s="85" t="s">
        <v>2718</v>
      </c>
      <c r="J319" s="85"/>
      <c r="K319" s="85" t="s">
        <v>47</v>
      </c>
      <c r="L319" s="85">
        <v>4</v>
      </c>
      <c r="M319" s="20">
        <f>Table9[[#This Row],[Rate
(Please Select from the list)]]/5</f>
        <v>0.8</v>
      </c>
      <c r="N319" s="73">
        <v>4.3499999999999996</v>
      </c>
      <c r="O319" s="74">
        <f>Table9[[#This Row],[Score %]]*Table9[[#This Row],[Item Weight
(Please Select from the list)]]</f>
        <v>3.48</v>
      </c>
      <c r="P319" s="80">
        <v>5</v>
      </c>
      <c r="Q319" t="s">
        <v>46</v>
      </c>
      <c r="R319"/>
      <c r="S319" t="s">
        <v>43</v>
      </c>
      <c r="T319"/>
      <c r="U319" t="s">
        <v>44</v>
      </c>
      <c r="V319" t="s">
        <v>3812</v>
      </c>
      <c r="W319" s="88" t="s">
        <v>4034</v>
      </c>
    </row>
    <row r="320" spans="1:23" ht="14.4">
      <c r="A320" s="7" t="s">
        <v>109</v>
      </c>
      <c r="B320" t="s">
        <v>27</v>
      </c>
      <c r="C320" t="s">
        <v>1504</v>
      </c>
      <c r="D320" s="7" t="s">
        <v>1082</v>
      </c>
      <c r="E320" s="7" t="s">
        <v>1083</v>
      </c>
      <c r="F320" s="7" t="s">
        <v>1084</v>
      </c>
      <c r="G320" s="7" t="s">
        <v>2584</v>
      </c>
      <c r="H320" s="85" t="s">
        <v>3212</v>
      </c>
      <c r="I320" s="85" t="s">
        <v>2716</v>
      </c>
      <c r="J320" s="85" t="s">
        <v>3213</v>
      </c>
      <c r="K320" s="85" t="s">
        <v>16</v>
      </c>
      <c r="L320" s="85">
        <v>3</v>
      </c>
      <c r="M320" s="20">
        <f>Table9[[#This Row],[Rate
(Please Select from the list)]]/5</f>
        <v>0.6</v>
      </c>
      <c r="N320" s="73">
        <v>2.61</v>
      </c>
      <c r="O320" s="74">
        <f>Table9[[#This Row],[Score %]]*Table9[[#This Row],[Item Weight
(Please Select from the list)]]</f>
        <v>1.5659999999999998</v>
      </c>
      <c r="P320" s="80">
        <v>3</v>
      </c>
      <c r="Q320" t="s">
        <v>31</v>
      </c>
      <c r="R320" t="s">
        <v>3934</v>
      </c>
      <c r="S320" t="s">
        <v>29</v>
      </c>
      <c r="T320" s="86">
        <v>45421</v>
      </c>
      <c r="U320" t="s">
        <v>14</v>
      </c>
      <c r="V320" t="s">
        <v>3817</v>
      </c>
      <c r="W320" s="88" t="s">
        <v>4034</v>
      </c>
    </row>
    <row r="321" spans="1:23" ht="14.4">
      <c r="A321" s="7" t="s">
        <v>109</v>
      </c>
      <c r="B321" t="s">
        <v>27</v>
      </c>
      <c r="C321" t="s">
        <v>1504</v>
      </c>
      <c r="D321" s="7" t="s">
        <v>1085</v>
      </c>
      <c r="E321" s="7" t="s">
        <v>1086</v>
      </c>
      <c r="F321" s="7" t="s">
        <v>1087</v>
      </c>
      <c r="G321" s="7" t="s">
        <v>2584</v>
      </c>
      <c r="H321" s="85" t="s">
        <v>3214</v>
      </c>
      <c r="I321" s="85" t="s">
        <v>2731</v>
      </c>
      <c r="J321" s="85" t="s">
        <v>3215</v>
      </c>
      <c r="K321" s="85" t="s">
        <v>16</v>
      </c>
      <c r="L321" s="85">
        <v>2</v>
      </c>
      <c r="M321" s="20">
        <f>Table9[[#This Row],[Rate
(Please Select from the list)]]/5</f>
        <v>0.4</v>
      </c>
      <c r="N321" s="73">
        <v>2.61</v>
      </c>
      <c r="O321" s="74">
        <f>Table9[[#This Row],[Score %]]*Table9[[#This Row],[Item Weight
(Please Select from the list)]]</f>
        <v>1.044</v>
      </c>
      <c r="P321" s="80">
        <v>3</v>
      </c>
      <c r="Q321" t="s">
        <v>15</v>
      </c>
      <c r="R321" t="s">
        <v>3935</v>
      </c>
      <c r="S321" t="s">
        <v>13</v>
      </c>
      <c r="T321" t="s">
        <v>3820</v>
      </c>
      <c r="U321" t="s">
        <v>14</v>
      </c>
      <c r="V321" t="s">
        <v>3847</v>
      </c>
      <c r="W321" s="88" t="s">
        <v>4034</v>
      </c>
    </row>
    <row r="322" spans="1:23" ht="14.4">
      <c r="A322" s="7" t="s">
        <v>109</v>
      </c>
      <c r="B322" t="s">
        <v>27</v>
      </c>
      <c r="C322" t="s">
        <v>1504</v>
      </c>
      <c r="D322" s="7" t="s">
        <v>1088</v>
      </c>
      <c r="E322" s="7" t="s">
        <v>1089</v>
      </c>
      <c r="F322" s="7" t="s">
        <v>1090</v>
      </c>
      <c r="G322" s="7" t="s">
        <v>2584</v>
      </c>
      <c r="H322" s="85" t="s">
        <v>3216</v>
      </c>
      <c r="I322" s="85" t="s">
        <v>2754</v>
      </c>
      <c r="J322" s="85"/>
      <c r="K322" s="85" t="s">
        <v>16</v>
      </c>
      <c r="L322" s="85">
        <v>4</v>
      </c>
      <c r="M322" s="20">
        <f>Table9[[#This Row],[Rate
(Please Select from the list)]]/5</f>
        <v>0.8</v>
      </c>
      <c r="N322" s="73">
        <v>3.48</v>
      </c>
      <c r="O322" s="74">
        <f>Table9[[#This Row],[Score %]]*Table9[[#This Row],[Item Weight
(Please Select from the list)]]</f>
        <v>2.7840000000000003</v>
      </c>
      <c r="P322" s="80">
        <v>4</v>
      </c>
      <c r="Q322" t="s">
        <v>15</v>
      </c>
      <c r="R322"/>
      <c r="S322" t="s">
        <v>57</v>
      </c>
      <c r="T322"/>
      <c r="U322" t="s">
        <v>44</v>
      </c>
      <c r="V322" t="s">
        <v>3812</v>
      </c>
      <c r="W322" s="88" t="s">
        <v>4034</v>
      </c>
    </row>
    <row r="323" spans="1:23" ht="14.4">
      <c r="A323" s="7" t="s">
        <v>109</v>
      </c>
      <c r="B323" t="s">
        <v>27</v>
      </c>
      <c r="C323" t="s">
        <v>1504</v>
      </c>
      <c r="D323" s="7" t="s">
        <v>1091</v>
      </c>
      <c r="E323" s="7" t="s">
        <v>1092</v>
      </c>
      <c r="F323" s="7" t="s">
        <v>1023</v>
      </c>
      <c r="G323" s="7" t="s">
        <v>2584</v>
      </c>
      <c r="H323" s="85" t="s">
        <v>3217</v>
      </c>
      <c r="I323" s="85" t="s">
        <v>2748</v>
      </c>
      <c r="J323" s="85"/>
      <c r="K323" s="85" t="s">
        <v>47</v>
      </c>
      <c r="L323" s="85">
        <v>4</v>
      </c>
      <c r="M323" s="20">
        <f>Table9[[#This Row],[Rate
(Please Select from the list)]]/5</f>
        <v>0.8</v>
      </c>
      <c r="N323" s="73">
        <v>2.61</v>
      </c>
      <c r="O323" s="74">
        <f>Table9[[#This Row],[Score %]]*Table9[[#This Row],[Item Weight
(Please Select from the list)]]</f>
        <v>2.0880000000000001</v>
      </c>
      <c r="P323" s="80">
        <v>3</v>
      </c>
      <c r="Q323" t="s">
        <v>46</v>
      </c>
      <c r="R323"/>
      <c r="S323" t="s">
        <v>57</v>
      </c>
      <c r="T323"/>
      <c r="U323" t="s">
        <v>44</v>
      </c>
      <c r="V323" t="s">
        <v>3812</v>
      </c>
      <c r="W323" s="88" t="s">
        <v>4034</v>
      </c>
    </row>
    <row r="324" spans="1:23" ht="14.4">
      <c r="A324" s="7" t="s">
        <v>109</v>
      </c>
      <c r="B324" t="s">
        <v>27</v>
      </c>
      <c r="C324" t="s">
        <v>1504</v>
      </c>
      <c r="D324" s="7" t="s">
        <v>1093</v>
      </c>
      <c r="E324" s="7" t="s">
        <v>1094</v>
      </c>
      <c r="F324" s="7" t="s">
        <v>1095</v>
      </c>
      <c r="G324" s="7" t="s">
        <v>2584</v>
      </c>
      <c r="H324" s="85" t="s">
        <v>3218</v>
      </c>
      <c r="I324" s="85" t="s">
        <v>2725</v>
      </c>
      <c r="J324" s="85" t="s">
        <v>3219</v>
      </c>
      <c r="K324" s="85" t="s">
        <v>16</v>
      </c>
      <c r="L324" s="85">
        <v>3</v>
      </c>
      <c r="M324" s="20">
        <f>Table9[[#This Row],[Rate
(Please Select from the list)]]/5</f>
        <v>0.6</v>
      </c>
      <c r="N324" s="73">
        <v>2.61</v>
      </c>
      <c r="O324" s="74">
        <f>Table9[[#This Row],[Score %]]*Table9[[#This Row],[Item Weight
(Please Select from the list)]]</f>
        <v>1.5659999999999998</v>
      </c>
      <c r="P324" s="80">
        <v>3</v>
      </c>
      <c r="Q324" t="s">
        <v>15</v>
      </c>
      <c r="R324"/>
      <c r="S324" t="s">
        <v>43</v>
      </c>
      <c r="T324"/>
      <c r="U324" t="s">
        <v>44</v>
      </c>
      <c r="V324" t="s">
        <v>3817</v>
      </c>
      <c r="W324" s="88" t="s">
        <v>4034</v>
      </c>
    </row>
    <row r="325" spans="1:23" ht="14.4">
      <c r="A325" s="7" t="s">
        <v>109</v>
      </c>
      <c r="B325" t="s">
        <v>27</v>
      </c>
      <c r="C325" t="s">
        <v>1504</v>
      </c>
      <c r="D325" s="7" t="s">
        <v>1096</v>
      </c>
      <c r="E325" s="7" t="s">
        <v>1097</v>
      </c>
      <c r="F325" s="7" t="s">
        <v>1098</v>
      </c>
      <c r="G325" s="7" t="s">
        <v>2584</v>
      </c>
      <c r="H325" s="85" t="s">
        <v>3220</v>
      </c>
      <c r="I325" s="85" t="s">
        <v>2754</v>
      </c>
      <c r="J325" s="85" t="s">
        <v>3221</v>
      </c>
      <c r="K325" s="85" t="s">
        <v>16</v>
      </c>
      <c r="L325" s="85">
        <v>3</v>
      </c>
      <c r="M325" s="20">
        <f>Table9[[#This Row],[Rate
(Please Select from the list)]]/5</f>
        <v>0.6</v>
      </c>
      <c r="N325" s="73">
        <v>2.61</v>
      </c>
      <c r="O325" s="74">
        <f>Table9[[#This Row],[Score %]]*Table9[[#This Row],[Item Weight
(Please Select from the list)]]</f>
        <v>1.5659999999999998</v>
      </c>
      <c r="P325" s="80">
        <v>3</v>
      </c>
      <c r="Q325" t="s">
        <v>31</v>
      </c>
      <c r="R325"/>
      <c r="S325" t="s">
        <v>43</v>
      </c>
      <c r="T325"/>
      <c r="U325" t="s">
        <v>44</v>
      </c>
      <c r="V325" t="s">
        <v>3817</v>
      </c>
      <c r="W325" s="88" t="s">
        <v>4034</v>
      </c>
    </row>
    <row r="326" spans="1:23" ht="14.4">
      <c r="A326" s="7" t="s">
        <v>109</v>
      </c>
      <c r="B326" t="s">
        <v>27</v>
      </c>
      <c r="C326" t="s">
        <v>1504</v>
      </c>
      <c r="D326" s="7" t="s">
        <v>1099</v>
      </c>
      <c r="E326" s="7" t="s">
        <v>1100</v>
      </c>
      <c r="F326" s="7" t="s">
        <v>994</v>
      </c>
      <c r="G326" s="7" t="s">
        <v>2584</v>
      </c>
      <c r="H326" s="85" t="s">
        <v>3222</v>
      </c>
      <c r="I326" s="85" t="s">
        <v>2748</v>
      </c>
      <c r="J326" s="85" t="s">
        <v>3223</v>
      </c>
      <c r="K326" s="85" t="s">
        <v>16</v>
      </c>
      <c r="L326" s="85">
        <v>2</v>
      </c>
      <c r="M326" s="20">
        <f>Table9[[#This Row],[Rate
(Please Select from the list)]]/5</f>
        <v>0.4</v>
      </c>
      <c r="N326" s="73">
        <v>2.61</v>
      </c>
      <c r="O326" s="74">
        <f>Table9[[#This Row],[Score %]]*Table9[[#This Row],[Item Weight
(Please Select from the list)]]</f>
        <v>1.044</v>
      </c>
      <c r="P326" s="80">
        <v>3</v>
      </c>
      <c r="Q326" t="s">
        <v>59</v>
      </c>
      <c r="R326" t="s">
        <v>3936</v>
      </c>
      <c r="S326" t="s">
        <v>13</v>
      </c>
      <c r="T326" t="s">
        <v>3820</v>
      </c>
      <c r="U326" t="s">
        <v>14</v>
      </c>
      <c r="V326" t="s">
        <v>3847</v>
      </c>
      <c r="W326" s="88" t="s">
        <v>4034</v>
      </c>
    </row>
    <row r="327" spans="1:23" ht="14.4">
      <c r="A327" s="7" t="s">
        <v>109</v>
      </c>
      <c r="B327" t="s">
        <v>27</v>
      </c>
      <c r="C327" t="s">
        <v>1504</v>
      </c>
      <c r="D327" s="7" t="s">
        <v>1101</v>
      </c>
      <c r="E327" s="7" t="s">
        <v>1102</v>
      </c>
      <c r="F327" s="7" t="s">
        <v>1028</v>
      </c>
      <c r="G327" s="7" t="s">
        <v>2584</v>
      </c>
      <c r="H327" s="85" t="s">
        <v>3224</v>
      </c>
      <c r="I327" s="85" t="s">
        <v>2739</v>
      </c>
      <c r="J327" s="85"/>
      <c r="K327" s="85" t="s">
        <v>855</v>
      </c>
      <c r="L327" s="85">
        <v>4</v>
      </c>
      <c r="M327" s="20">
        <f>Table9[[#This Row],[Rate
(Please Select from the list)]]/5</f>
        <v>0.8</v>
      </c>
      <c r="N327" s="73">
        <v>2.61</v>
      </c>
      <c r="O327" s="74">
        <f>Table9[[#This Row],[Score %]]*Table9[[#This Row],[Item Weight
(Please Select from the list)]]</f>
        <v>2.0880000000000001</v>
      </c>
      <c r="P327" s="80">
        <v>3</v>
      </c>
      <c r="Q327" t="s">
        <v>3852</v>
      </c>
      <c r="R327"/>
      <c r="S327" t="s">
        <v>43</v>
      </c>
      <c r="T327"/>
      <c r="U327" t="s">
        <v>58</v>
      </c>
      <c r="V327" t="s">
        <v>3812</v>
      </c>
      <c r="W327" s="88" t="s">
        <v>4034</v>
      </c>
    </row>
    <row r="328" spans="1:23" ht="14.4">
      <c r="A328" s="7" t="s">
        <v>109</v>
      </c>
      <c r="B328" t="s">
        <v>27</v>
      </c>
      <c r="C328" t="s">
        <v>1504</v>
      </c>
      <c r="D328" s="7" t="s">
        <v>1103</v>
      </c>
      <c r="E328" s="7" t="s">
        <v>911</v>
      </c>
      <c r="F328" s="7" t="s">
        <v>912</v>
      </c>
      <c r="G328" s="7" t="s">
        <v>2584</v>
      </c>
      <c r="H328" s="85" t="s">
        <v>3225</v>
      </c>
      <c r="I328" s="85" t="s">
        <v>2748</v>
      </c>
      <c r="J328" s="85" t="s">
        <v>3226</v>
      </c>
      <c r="K328" s="85" t="s">
        <v>16</v>
      </c>
      <c r="L328" s="85">
        <v>3</v>
      </c>
      <c r="M328" s="20">
        <f>Table9[[#This Row],[Rate
(Please Select from the list)]]/5</f>
        <v>0.6</v>
      </c>
      <c r="N328" s="73">
        <v>2.61</v>
      </c>
      <c r="O328" s="74">
        <f>Table9[[#This Row],[Score %]]*Table9[[#This Row],[Item Weight
(Please Select from the list)]]</f>
        <v>1.5659999999999998</v>
      </c>
      <c r="P328" s="80">
        <v>3</v>
      </c>
      <c r="Q328" t="s">
        <v>59</v>
      </c>
      <c r="R328" t="s">
        <v>3937</v>
      </c>
      <c r="S328" t="s">
        <v>29</v>
      </c>
      <c r="T328" s="86">
        <v>45421</v>
      </c>
      <c r="U328" t="s">
        <v>30</v>
      </c>
      <c r="V328" t="s">
        <v>3825</v>
      </c>
      <c r="W328" s="88" t="s">
        <v>4034</v>
      </c>
    </row>
    <row r="329" spans="1:23" ht="14.4">
      <c r="A329" s="7" t="s">
        <v>109</v>
      </c>
      <c r="B329" t="s">
        <v>27</v>
      </c>
      <c r="C329" t="s">
        <v>1504</v>
      </c>
      <c r="D329" s="7" t="s">
        <v>1104</v>
      </c>
      <c r="E329" s="7" t="s">
        <v>1105</v>
      </c>
      <c r="F329" s="7" t="s">
        <v>1106</v>
      </c>
      <c r="G329" s="7" t="s">
        <v>2584</v>
      </c>
      <c r="H329" s="85" t="s">
        <v>3227</v>
      </c>
      <c r="I329" s="85" t="s">
        <v>2725</v>
      </c>
      <c r="J329" s="85"/>
      <c r="K329" s="85" t="s">
        <v>855</v>
      </c>
      <c r="L329" s="85">
        <v>4</v>
      </c>
      <c r="M329" s="20">
        <f>Table9[[#This Row],[Rate
(Please Select from the list)]]/5</f>
        <v>0.8</v>
      </c>
      <c r="N329" s="73">
        <v>2.61</v>
      </c>
      <c r="O329" s="74">
        <f>Table9[[#This Row],[Score %]]*Table9[[#This Row],[Item Weight
(Please Select from the list)]]</f>
        <v>2.0880000000000001</v>
      </c>
      <c r="P329" s="80">
        <v>3</v>
      </c>
      <c r="Q329" t="s">
        <v>15</v>
      </c>
      <c r="R329"/>
      <c r="S329" t="s">
        <v>57</v>
      </c>
      <c r="T329"/>
      <c r="U329" t="s">
        <v>58</v>
      </c>
      <c r="V329" t="s">
        <v>3812</v>
      </c>
      <c r="W329" s="88" t="s">
        <v>4034</v>
      </c>
    </row>
    <row r="330" spans="1:23" ht="14.4">
      <c r="A330" s="7" t="s">
        <v>109</v>
      </c>
      <c r="B330" t="s">
        <v>27</v>
      </c>
      <c r="C330" t="s">
        <v>1504</v>
      </c>
      <c r="D330" s="7" t="s">
        <v>1107</v>
      </c>
      <c r="E330" s="7" t="s">
        <v>1108</v>
      </c>
      <c r="F330" s="7" t="s">
        <v>1109</v>
      </c>
      <c r="G330" s="7" t="s">
        <v>2584</v>
      </c>
      <c r="H330" s="85" t="s">
        <v>3228</v>
      </c>
      <c r="I330" s="85" t="s">
        <v>2728</v>
      </c>
      <c r="J330" s="85"/>
      <c r="K330" s="85" t="s">
        <v>47</v>
      </c>
      <c r="L330" s="85">
        <v>4</v>
      </c>
      <c r="M330" s="20">
        <f>Table9[[#This Row],[Rate
(Please Select from the list)]]/5</f>
        <v>0.8</v>
      </c>
      <c r="N330" s="73">
        <v>2.61</v>
      </c>
      <c r="O330" s="74">
        <f>Table9[[#This Row],[Score %]]*Table9[[#This Row],[Item Weight
(Please Select from the list)]]</f>
        <v>2.0880000000000001</v>
      </c>
      <c r="P330" s="80">
        <v>3</v>
      </c>
      <c r="Q330" t="s">
        <v>59</v>
      </c>
      <c r="R330"/>
      <c r="S330" t="s">
        <v>57</v>
      </c>
      <c r="T330"/>
      <c r="U330" t="s">
        <v>44</v>
      </c>
      <c r="V330" t="s">
        <v>3812</v>
      </c>
      <c r="W330" s="88" t="s">
        <v>4034</v>
      </c>
    </row>
    <row r="331" spans="1:23" ht="14.4">
      <c r="A331" s="7" t="s">
        <v>109</v>
      </c>
      <c r="B331" t="s">
        <v>27</v>
      </c>
      <c r="C331" t="s">
        <v>1504</v>
      </c>
      <c r="D331" s="7" t="s">
        <v>1110</v>
      </c>
      <c r="E331" s="7" t="s">
        <v>1111</v>
      </c>
      <c r="F331" s="7" t="s">
        <v>907</v>
      </c>
      <c r="G331" s="7" t="s">
        <v>2584</v>
      </c>
      <c r="H331" s="85" t="s">
        <v>3229</v>
      </c>
      <c r="I331" s="85" t="s">
        <v>2728</v>
      </c>
      <c r="J331" s="85"/>
      <c r="K331" s="85" t="s">
        <v>855</v>
      </c>
      <c r="L331" s="85">
        <v>4</v>
      </c>
      <c r="M331" s="20">
        <f>Table9[[#This Row],[Rate
(Please Select from the list)]]/5</f>
        <v>0.8</v>
      </c>
      <c r="N331" s="73">
        <v>4.3499999999999996</v>
      </c>
      <c r="O331" s="74">
        <f>Table9[[#This Row],[Score %]]*Table9[[#This Row],[Item Weight
(Please Select from the list)]]</f>
        <v>3.48</v>
      </c>
      <c r="P331" s="80">
        <v>5</v>
      </c>
      <c r="Q331" t="s">
        <v>46</v>
      </c>
      <c r="R331"/>
      <c r="S331" t="s">
        <v>43</v>
      </c>
      <c r="T331"/>
      <c r="U331" t="s">
        <v>58</v>
      </c>
      <c r="V331" t="s">
        <v>3812</v>
      </c>
      <c r="W331" s="88" t="s">
        <v>4034</v>
      </c>
    </row>
    <row r="332" spans="1:23" ht="14.4">
      <c r="A332" s="7" t="s">
        <v>109</v>
      </c>
      <c r="B332" t="s">
        <v>27</v>
      </c>
      <c r="C332" t="s">
        <v>1504</v>
      </c>
      <c r="D332" s="7" t="s">
        <v>1112</v>
      </c>
      <c r="E332" s="7" t="s">
        <v>1113</v>
      </c>
      <c r="F332" s="7" t="s">
        <v>1114</v>
      </c>
      <c r="G332" s="7" t="s">
        <v>2584</v>
      </c>
      <c r="H332" s="85" t="s">
        <v>3230</v>
      </c>
      <c r="I332" s="85" t="s">
        <v>2736</v>
      </c>
      <c r="J332" s="85" t="s">
        <v>3231</v>
      </c>
      <c r="K332" s="85" t="s">
        <v>16</v>
      </c>
      <c r="L332" s="85">
        <v>3</v>
      </c>
      <c r="M332" s="20">
        <f>Table9[[#This Row],[Rate
(Please Select from the list)]]/5</f>
        <v>0.6</v>
      </c>
      <c r="N332" s="73">
        <v>2.61</v>
      </c>
      <c r="O332" s="74">
        <f>Table9[[#This Row],[Score %]]*Table9[[#This Row],[Item Weight
(Please Select from the list)]]</f>
        <v>1.5659999999999998</v>
      </c>
      <c r="P332" s="80">
        <v>3</v>
      </c>
      <c r="Q332" t="s">
        <v>46</v>
      </c>
      <c r="R332"/>
      <c r="S332" t="s">
        <v>43</v>
      </c>
      <c r="T332"/>
      <c r="U332" t="s">
        <v>58</v>
      </c>
      <c r="V332" t="s">
        <v>3825</v>
      </c>
      <c r="W332" s="88" t="s">
        <v>4034</v>
      </c>
    </row>
    <row r="333" spans="1:23" ht="14.4">
      <c r="A333" s="7" t="s">
        <v>109</v>
      </c>
      <c r="B333" t="s">
        <v>27</v>
      </c>
      <c r="C333" t="s">
        <v>1504</v>
      </c>
      <c r="D333" s="7" t="s">
        <v>1115</v>
      </c>
      <c r="E333" s="7" t="s">
        <v>1116</v>
      </c>
      <c r="F333" s="7" t="s">
        <v>834</v>
      </c>
      <c r="G333" s="7" t="s">
        <v>2584</v>
      </c>
      <c r="H333" s="85" t="s">
        <v>3232</v>
      </c>
      <c r="I333" s="85" t="s">
        <v>2795</v>
      </c>
      <c r="J333" s="85" t="s">
        <v>3233</v>
      </c>
      <c r="K333" s="85" t="s">
        <v>16</v>
      </c>
      <c r="L333" s="85">
        <v>3</v>
      </c>
      <c r="M333" s="20">
        <f>Table9[[#This Row],[Rate
(Please Select from the list)]]/5</f>
        <v>0.6</v>
      </c>
      <c r="N333" s="73">
        <v>2.61</v>
      </c>
      <c r="O333" s="74">
        <f>Table9[[#This Row],[Score %]]*Table9[[#This Row],[Item Weight
(Please Select from the list)]]</f>
        <v>1.5659999999999998</v>
      </c>
      <c r="P333" s="80">
        <v>3</v>
      </c>
      <c r="Q333" t="s">
        <v>15</v>
      </c>
      <c r="R333" t="s">
        <v>3938</v>
      </c>
      <c r="S333" t="s">
        <v>29</v>
      </c>
      <c r="T333" s="86">
        <v>45421</v>
      </c>
      <c r="U333" t="s">
        <v>14</v>
      </c>
      <c r="V333" t="s">
        <v>3817</v>
      </c>
      <c r="W333" s="88" t="s">
        <v>4034</v>
      </c>
    </row>
    <row r="334" spans="1:23" ht="14.4">
      <c r="A334" s="7" t="s">
        <v>109</v>
      </c>
      <c r="B334" t="s">
        <v>27</v>
      </c>
      <c r="C334" t="s">
        <v>1504</v>
      </c>
      <c r="D334" s="7" t="s">
        <v>1117</v>
      </c>
      <c r="E334" s="7" t="s">
        <v>1118</v>
      </c>
      <c r="F334" s="7" t="s">
        <v>1119</v>
      </c>
      <c r="G334" s="7" t="s">
        <v>2584</v>
      </c>
      <c r="H334" s="85" t="s">
        <v>3234</v>
      </c>
      <c r="I334" s="85" t="s">
        <v>2748</v>
      </c>
      <c r="J334" s="85"/>
      <c r="K334" s="85" t="s">
        <v>16</v>
      </c>
      <c r="L334" s="85">
        <v>4</v>
      </c>
      <c r="M334" s="20">
        <f>Table9[[#This Row],[Rate
(Please Select from the list)]]/5</f>
        <v>0.8</v>
      </c>
      <c r="N334" s="73">
        <v>2.61</v>
      </c>
      <c r="O334" s="74">
        <f>Table9[[#This Row],[Score %]]*Table9[[#This Row],[Item Weight
(Please Select from the list)]]</f>
        <v>2.0880000000000001</v>
      </c>
      <c r="P334" s="80">
        <v>3</v>
      </c>
      <c r="Q334" t="s">
        <v>15</v>
      </c>
      <c r="R334"/>
      <c r="S334" t="s">
        <v>57</v>
      </c>
      <c r="T334"/>
      <c r="U334" t="s">
        <v>58</v>
      </c>
      <c r="V334" t="s">
        <v>3812</v>
      </c>
      <c r="W334" s="88" t="s">
        <v>4034</v>
      </c>
    </row>
    <row r="335" spans="1:23" ht="14.4">
      <c r="A335" s="7" t="s">
        <v>109</v>
      </c>
      <c r="B335" t="s">
        <v>27</v>
      </c>
      <c r="C335" t="s">
        <v>1504</v>
      </c>
      <c r="D335" s="7" t="s">
        <v>1120</v>
      </c>
      <c r="E335" s="7" t="s">
        <v>1121</v>
      </c>
      <c r="F335" s="7" t="s">
        <v>1122</v>
      </c>
      <c r="G335" s="7" t="s">
        <v>2584</v>
      </c>
      <c r="H335" s="85" t="s">
        <v>3235</v>
      </c>
      <c r="I335" s="85" t="s">
        <v>2748</v>
      </c>
      <c r="J335" s="85" t="s">
        <v>3236</v>
      </c>
      <c r="K335" s="85" t="s">
        <v>16</v>
      </c>
      <c r="L335" s="85">
        <v>3</v>
      </c>
      <c r="M335" s="20">
        <f>Table9[[#This Row],[Rate
(Please Select from the list)]]/5</f>
        <v>0.6</v>
      </c>
      <c r="N335" s="73">
        <v>2.61</v>
      </c>
      <c r="O335" s="74">
        <f>Table9[[#This Row],[Score %]]*Table9[[#This Row],[Item Weight
(Please Select from the list)]]</f>
        <v>1.5659999999999998</v>
      </c>
      <c r="P335" s="80">
        <v>3</v>
      </c>
      <c r="Q335" t="s">
        <v>59</v>
      </c>
      <c r="R335"/>
      <c r="S335" t="s">
        <v>43</v>
      </c>
      <c r="T335"/>
      <c r="U335" t="s">
        <v>58</v>
      </c>
      <c r="V335" t="s">
        <v>3825</v>
      </c>
      <c r="W335" s="88" t="s">
        <v>4034</v>
      </c>
    </row>
    <row r="336" spans="1:23" ht="14.4">
      <c r="A336" s="7" t="s">
        <v>109</v>
      </c>
      <c r="B336" t="s">
        <v>27</v>
      </c>
      <c r="C336" t="s">
        <v>1504</v>
      </c>
      <c r="D336" s="7" t="s">
        <v>1123</v>
      </c>
      <c r="E336" s="7" t="s">
        <v>1124</v>
      </c>
      <c r="F336" s="7" t="s">
        <v>1125</v>
      </c>
      <c r="G336" s="7" t="s">
        <v>2584</v>
      </c>
      <c r="H336" s="85" t="s">
        <v>3237</v>
      </c>
      <c r="I336" s="85" t="s">
        <v>2716</v>
      </c>
      <c r="J336" s="85" t="s">
        <v>3238</v>
      </c>
      <c r="K336" s="85" t="s">
        <v>16</v>
      </c>
      <c r="L336" s="85">
        <v>3</v>
      </c>
      <c r="M336" s="20">
        <f>Table9[[#This Row],[Rate
(Please Select from the list)]]/5</f>
        <v>0.6</v>
      </c>
      <c r="N336" s="73">
        <v>2.61</v>
      </c>
      <c r="O336" s="74">
        <f>Table9[[#This Row],[Score %]]*Table9[[#This Row],[Item Weight
(Please Select from the list)]]</f>
        <v>1.5659999999999998</v>
      </c>
      <c r="P336" s="80">
        <v>3</v>
      </c>
      <c r="Q336" t="s">
        <v>15</v>
      </c>
      <c r="R336"/>
      <c r="S336" t="s">
        <v>43</v>
      </c>
      <c r="T336"/>
      <c r="U336" t="s">
        <v>58</v>
      </c>
      <c r="V336" t="s">
        <v>3813</v>
      </c>
      <c r="W336" s="88" t="s">
        <v>4034</v>
      </c>
    </row>
    <row r="337" spans="1:23" ht="14.4">
      <c r="A337" s="7" t="s">
        <v>109</v>
      </c>
      <c r="B337" t="s">
        <v>27</v>
      </c>
      <c r="C337" t="s">
        <v>1504</v>
      </c>
      <c r="D337" s="7" t="s">
        <v>1126</v>
      </c>
      <c r="E337" s="7" t="s">
        <v>1127</v>
      </c>
      <c r="F337" s="7" t="s">
        <v>894</v>
      </c>
      <c r="G337" s="7" t="s">
        <v>2584</v>
      </c>
      <c r="H337" s="85" t="s">
        <v>3239</v>
      </c>
      <c r="I337" s="85" t="s">
        <v>2748</v>
      </c>
      <c r="J337" s="85" t="s">
        <v>3240</v>
      </c>
      <c r="K337" s="85" t="s">
        <v>16</v>
      </c>
      <c r="L337" s="85">
        <v>3</v>
      </c>
      <c r="M337" s="20">
        <f>Table9[[#This Row],[Rate
(Please Select from the list)]]/5</f>
        <v>0.6</v>
      </c>
      <c r="N337" s="73">
        <v>2.61</v>
      </c>
      <c r="O337" s="74">
        <f>Table9[[#This Row],[Score %]]*Table9[[#This Row],[Item Weight
(Please Select from the list)]]</f>
        <v>1.5659999999999998</v>
      </c>
      <c r="P337" s="80">
        <v>3</v>
      </c>
      <c r="Q337" t="s">
        <v>59</v>
      </c>
      <c r="R337" t="s">
        <v>3939</v>
      </c>
      <c r="S337" t="s">
        <v>43</v>
      </c>
      <c r="T337" t="s">
        <v>3844</v>
      </c>
      <c r="U337" t="s">
        <v>30</v>
      </c>
      <c r="V337" t="s">
        <v>3825</v>
      </c>
      <c r="W337" s="88" t="s">
        <v>4034</v>
      </c>
    </row>
    <row r="338" spans="1:23" ht="14.4">
      <c r="A338" s="7" t="s">
        <v>109</v>
      </c>
      <c r="B338" t="s">
        <v>27</v>
      </c>
      <c r="C338" t="s">
        <v>1504</v>
      </c>
      <c r="D338" s="7" t="s">
        <v>1128</v>
      </c>
      <c r="E338" s="7" t="s">
        <v>897</v>
      </c>
      <c r="F338" s="7" t="s">
        <v>655</v>
      </c>
      <c r="G338" s="7" t="s">
        <v>2584</v>
      </c>
      <c r="H338" s="85" t="s">
        <v>3241</v>
      </c>
      <c r="I338" s="85" t="s">
        <v>2728</v>
      </c>
      <c r="J338" s="85"/>
      <c r="K338" s="85" t="s">
        <v>855</v>
      </c>
      <c r="L338" s="85">
        <v>4</v>
      </c>
      <c r="M338" s="20">
        <f>Table9[[#This Row],[Rate
(Please Select from the list)]]/5</f>
        <v>0.8</v>
      </c>
      <c r="N338" s="73">
        <v>2.61</v>
      </c>
      <c r="O338" s="74">
        <f>Table9[[#This Row],[Score %]]*Table9[[#This Row],[Item Weight
(Please Select from the list)]]</f>
        <v>2.0880000000000001</v>
      </c>
      <c r="P338" s="80">
        <v>3</v>
      </c>
      <c r="Q338" t="s">
        <v>3852</v>
      </c>
      <c r="R338"/>
      <c r="S338" t="s">
        <v>57</v>
      </c>
      <c r="T338"/>
      <c r="U338" t="s">
        <v>44</v>
      </c>
      <c r="V338" t="s">
        <v>3812</v>
      </c>
      <c r="W338" s="88" t="s">
        <v>4034</v>
      </c>
    </row>
    <row r="339" spans="1:23" ht="14.4">
      <c r="A339" s="7" t="s">
        <v>109</v>
      </c>
      <c r="B339" t="s">
        <v>27</v>
      </c>
      <c r="C339" t="s">
        <v>1504</v>
      </c>
      <c r="D339" s="7" t="s">
        <v>1129</v>
      </c>
      <c r="E339" s="7" t="s">
        <v>732</v>
      </c>
      <c r="F339" s="7" t="s">
        <v>733</v>
      </c>
      <c r="G339" s="7" t="s">
        <v>2584</v>
      </c>
      <c r="H339" s="85" t="s">
        <v>3242</v>
      </c>
      <c r="I339" s="85" t="s">
        <v>2795</v>
      </c>
      <c r="J339" s="85" t="s">
        <v>3243</v>
      </c>
      <c r="K339" s="85" t="s">
        <v>16</v>
      </c>
      <c r="L339" s="85">
        <v>3</v>
      </c>
      <c r="M339" s="20">
        <f>Table9[[#This Row],[Rate
(Please Select from the list)]]/5</f>
        <v>0.6</v>
      </c>
      <c r="N339" s="73">
        <v>2.61</v>
      </c>
      <c r="O339" s="74">
        <f>Table9[[#This Row],[Score %]]*Table9[[#This Row],[Item Weight
(Please Select from the list)]]</f>
        <v>1.5659999999999998</v>
      </c>
      <c r="P339" s="80">
        <v>3</v>
      </c>
      <c r="Q339" t="s">
        <v>15</v>
      </c>
      <c r="R339"/>
      <c r="S339" t="s">
        <v>43</v>
      </c>
      <c r="T339"/>
      <c r="U339" t="s">
        <v>58</v>
      </c>
      <c r="V339" t="s">
        <v>3825</v>
      </c>
      <c r="W339" s="88" t="s">
        <v>4034</v>
      </c>
    </row>
    <row r="340" spans="1:23" ht="14.4">
      <c r="A340" s="7" t="s">
        <v>109</v>
      </c>
      <c r="B340" t="s">
        <v>27</v>
      </c>
      <c r="C340" t="s">
        <v>1504</v>
      </c>
      <c r="D340" s="7" t="s">
        <v>1130</v>
      </c>
      <c r="E340" s="7" t="s">
        <v>1131</v>
      </c>
      <c r="F340" s="7" t="s">
        <v>736</v>
      </c>
      <c r="G340" s="7" t="s">
        <v>2584</v>
      </c>
      <c r="H340" s="85" t="s">
        <v>3244</v>
      </c>
      <c r="I340" s="85" t="s">
        <v>2725</v>
      </c>
      <c r="J340" s="85" t="s">
        <v>3245</v>
      </c>
      <c r="K340" s="85" t="s">
        <v>16</v>
      </c>
      <c r="L340" s="85">
        <v>2</v>
      </c>
      <c r="M340" s="20">
        <f>Table9[[#This Row],[Rate
(Please Select from the list)]]/5</f>
        <v>0.4</v>
      </c>
      <c r="N340" s="73">
        <v>2.61</v>
      </c>
      <c r="O340" s="74">
        <f>Table9[[#This Row],[Score %]]*Table9[[#This Row],[Item Weight
(Please Select from the list)]]</f>
        <v>1.044</v>
      </c>
      <c r="P340" s="80">
        <v>3</v>
      </c>
      <c r="Q340" t="s">
        <v>46</v>
      </c>
      <c r="R340" t="s">
        <v>3940</v>
      </c>
      <c r="S340" t="s">
        <v>29</v>
      </c>
      <c r="T340" s="86">
        <v>45421</v>
      </c>
      <c r="U340" t="s">
        <v>30</v>
      </c>
      <c r="V340" t="s">
        <v>3823</v>
      </c>
      <c r="W340" s="88" t="s">
        <v>4034</v>
      </c>
    </row>
    <row r="341" spans="1:23" ht="14.4">
      <c r="A341" s="7" t="s">
        <v>109</v>
      </c>
      <c r="B341" t="s">
        <v>27</v>
      </c>
      <c r="C341" t="s">
        <v>1504</v>
      </c>
      <c r="D341" s="7" t="s">
        <v>1132</v>
      </c>
      <c r="E341" s="7" t="s">
        <v>1133</v>
      </c>
      <c r="F341" s="7" t="s">
        <v>653</v>
      </c>
      <c r="G341" s="7" t="s">
        <v>2584</v>
      </c>
      <c r="H341" s="85" t="s">
        <v>3246</v>
      </c>
      <c r="I341" s="85" t="s">
        <v>2725</v>
      </c>
      <c r="J341" s="85" t="s">
        <v>3247</v>
      </c>
      <c r="K341" s="85" t="s">
        <v>16</v>
      </c>
      <c r="L341" s="85">
        <v>3</v>
      </c>
      <c r="M341" s="20">
        <f>Table9[[#This Row],[Rate
(Please Select from the list)]]/5</f>
        <v>0.6</v>
      </c>
      <c r="N341" s="73">
        <v>2.61</v>
      </c>
      <c r="O341" s="74">
        <f>Table9[[#This Row],[Score %]]*Table9[[#This Row],[Item Weight
(Please Select from the list)]]</f>
        <v>1.5659999999999998</v>
      </c>
      <c r="P341" s="80">
        <v>3</v>
      </c>
      <c r="Q341" t="s">
        <v>46</v>
      </c>
      <c r="R341" t="s">
        <v>3941</v>
      </c>
      <c r="S341" t="s">
        <v>43</v>
      </c>
      <c r="T341" t="s">
        <v>3844</v>
      </c>
      <c r="U341" t="s">
        <v>30</v>
      </c>
      <c r="V341" t="s">
        <v>3813</v>
      </c>
      <c r="W341" s="88" t="s">
        <v>4034</v>
      </c>
    </row>
    <row r="342" spans="1:23" ht="14.4">
      <c r="A342" s="7" t="s">
        <v>109</v>
      </c>
      <c r="B342" t="s">
        <v>27</v>
      </c>
      <c r="C342" t="s">
        <v>1504</v>
      </c>
      <c r="D342" s="7" t="s">
        <v>1134</v>
      </c>
      <c r="E342" s="7" t="s">
        <v>1135</v>
      </c>
      <c r="F342" s="7" t="s">
        <v>58</v>
      </c>
      <c r="G342" s="7" t="s">
        <v>2584</v>
      </c>
      <c r="H342" s="85" t="s">
        <v>3248</v>
      </c>
      <c r="I342" s="85" t="s">
        <v>2728</v>
      </c>
      <c r="J342" s="85" t="s">
        <v>3249</v>
      </c>
      <c r="K342" s="85" t="s">
        <v>16</v>
      </c>
      <c r="L342" s="85">
        <v>3</v>
      </c>
      <c r="M342" s="20">
        <f>Table9[[#This Row],[Rate
(Please Select from the list)]]/5</f>
        <v>0.6</v>
      </c>
      <c r="N342" s="73">
        <v>3.48</v>
      </c>
      <c r="O342" s="74">
        <f>Table9[[#This Row],[Score %]]*Table9[[#This Row],[Item Weight
(Please Select from the list)]]</f>
        <v>2.0880000000000001</v>
      </c>
      <c r="P342" s="80">
        <v>4</v>
      </c>
      <c r="Q342" t="s">
        <v>59</v>
      </c>
      <c r="R342"/>
      <c r="S342" t="s">
        <v>43</v>
      </c>
      <c r="T342"/>
      <c r="U342" t="s">
        <v>58</v>
      </c>
      <c r="V342" t="s">
        <v>3815</v>
      </c>
      <c r="W342" s="88" t="s">
        <v>4034</v>
      </c>
    </row>
    <row r="343" spans="1:23" ht="14.4">
      <c r="A343" s="7" t="s">
        <v>109</v>
      </c>
      <c r="B343" t="s">
        <v>27</v>
      </c>
      <c r="C343" t="s">
        <v>1504</v>
      </c>
      <c r="D343" s="7" t="s">
        <v>1136</v>
      </c>
      <c r="E343" s="7" t="s">
        <v>1137</v>
      </c>
      <c r="F343" s="7" t="s">
        <v>1138</v>
      </c>
      <c r="G343" s="7" t="s">
        <v>2584</v>
      </c>
      <c r="H343" s="85" t="s">
        <v>3250</v>
      </c>
      <c r="I343" s="85" t="s">
        <v>2718</v>
      </c>
      <c r="J343" s="85" t="s">
        <v>3251</v>
      </c>
      <c r="K343" s="85" t="s">
        <v>16</v>
      </c>
      <c r="L343" s="85">
        <v>3</v>
      </c>
      <c r="M343" s="20">
        <f>Table9[[#This Row],[Rate
(Please Select from the list)]]/5</f>
        <v>0.6</v>
      </c>
      <c r="N343" s="73">
        <v>2.61</v>
      </c>
      <c r="O343" s="74">
        <f>Table9[[#This Row],[Score %]]*Table9[[#This Row],[Item Weight
(Please Select from the list)]]</f>
        <v>1.5659999999999998</v>
      </c>
      <c r="P343" s="80">
        <v>3</v>
      </c>
      <c r="Q343" t="s">
        <v>46</v>
      </c>
      <c r="R343"/>
      <c r="S343" t="s">
        <v>43</v>
      </c>
      <c r="T343"/>
      <c r="U343" t="s">
        <v>58</v>
      </c>
      <c r="V343" t="s">
        <v>3813</v>
      </c>
      <c r="W343" s="88" t="s">
        <v>4034</v>
      </c>
    </row>
    <row r="344" spans="1:23" ht="14.4">
      <c r="A344" s="7" t="s">
        <v>109</v>
      </c>
      <c r="B344" t="s">
        <v>27</v>
      </c>
      <c r="C344" t="s">
        <v>1504</v>
      </c>
      <c r="D344" s="7" t="s">
        <v>1139</v>
      </c>
      <c r="E344" s="7" t="s">
        <v>1140</v>
      </c>
      <c r="F344" s="7" t="s">
        <v>727</v>
      </c>
      <c r="G344" s="7" t="s">
        <v>2584</v>
      </c>
      <c r="H344" s="85" t="s">
        <v>3252</v>
      </c>
      <c r="I344" s="85" t="s">
        <v>2739</v>
      </c>
      <c r="J344" s="85" t="s">
        <v>3253</v>
      </c>
      <c r="K344" s="85" t="s">
        <v>16</v>
      </c>
      <c r="L344" s="85">
        <v>3</v>
      </c>
      <c r="M344" s="20">
        <f>Table9[[#This Row],[Rate
(Please Select from the list)]]/5</f>
        <v>0.6</v>
      </c>
      <c r="N344" s="73">
        <v>2.61</v>
      </c>
      <c r="O344" s="74">
        <f>Table9[[#This Row],[Score %]]*Table9[[#This Row],[Item Weight
(Please Select from the list)]]</f>
        <v>1.5659999999999998</v>
      </c>
      <c r="P344" s="80">
        <v>3</v>
      </c>
      <c r="Q344" t="s">
        <v>15</v>
      </c>
      <c r="R344"/>
      <c r="S344" t="s">
        <v>43</v>
      </c>
      <c r="T344"/>
      <c r="U344" t="s">
        <v>44</v>
      </c>
      <c r="V344" t="s">
        <v>3825</v>
      </c>
      <c r="W344" s="88" t="s">
        <v>4034</v>
      </c>
    </row>
    <row r="345" spans="1:23" ht="14.4">
      <c r="A345" s="7" t="s">
        <v>61</v>
      </c>
      <c r="B345" t="s">
        <v>20</v>
      </c>
      <c r="C345" t="s">
        <v>21</v>
      </c>
      <c r="D345" s="7" t="s">
        <v>460</v>
      </c>
      <c r="E345" s="7" t="s">
        <v>461</v>
      </c>
      <c r="F345" s="7" t="s">
        <v>462</v>
      </c>
      <c r="G345" s="7" t="s">
        <v>2584</v>
      </c>
      <c r="H345" s="85" t="s">
        <v>3254</v>
      </c>
      <c r="I345" s="85" t="s">
        <v>2736</v>
      </c>
      <c r="J345" s="85" t="s">
        <v>3255</v>
      </c>
      <c r="K345" s="85" t="s">
        <v>16</v>
      </c>
      <c r="L345" s="85">
        <v>3</v>
      </c>
      <c r="M345" s="20">
        <f>Table9[[#This Row],[Rate
(Please Select from the list)]]/5</f>
        <v>0.6</v>
      </c>
      <c r="N345" s="73">
        <v>2.61</v>
      </c>
      <c r="O345" s="74">
        <f>Table9[[#This Row],[Score %]]*Table9[[#This Row],[Item Weight
(Please Select from the list)]]</f>
        <v>1.5659999999999998</v>
      </c>
      <c r="P345" s="80">
        <v>3</v>
      </c>
      <c r="Q345" t="s">
        <v>15</v>
      </c>
      <c r="R345"/>
      <c r="S345" t="s">
        <v>43</v>
      </c>
      <c r="T345"/>
      <c r="U345" t="s">
        <v>44</v>
      </c>
      <c r="V345" t="s">
        <v>3817</v>
      </c>
      <c r="W345" s="88" t="s">
        <v>4034</v>
      </c>
    </row>
    <row r="346" spans="1:23" ht="14.4">
      <c r="A346" s="7" t="s">
        <v>61</v>
      </c>
      <c r="B346" t="s">
        <v>20</v>
      </c>
      <c r="C346" t="s">
        <v>21</v>
      </c>
      <c r="D346" s="7" t="s">
        <v>463</v>
      </c>
      <c r="E346" s="7" t="s">
        <v>464</v>
      </c>
      <c r="F346" s="7" t="s">
        <v>465</v>
      </c>
      <c r="G346" s="7" t="s">
        <v>2584</v>
      </c>
      <c r="H346" s="85" t="s">
        <v>3256</v>
      </c>
      <c r="I346" s="85" t="s">
        <v>2718</v>
      </c>
      <c r="J346" s="85"/>
      <c r="K346" s="85" t="s">
        <v>855</v>
      </c>
      <c r="L346" s="85">
        <v>4</v>
      </c>
      <c r="M346" s="20">
        <f>Table9[[#This Row],[Rate
(Please Select from the list)]]/5</f>
        <v>0.8</v>
      </c>
      <c r="N346" s="73">
        <v>3.48</v>
      </c>
      <c r="O346" s="74">
        <f>Table9[[#This Row],[Score %]]*Table9[[#This Row],[Item Weight
(Please Select from the list)]]</f>
        <v>2.7840000000000003</v>
      </c>
      <c r="P346" s="80">
        <v>4</v>
      </c>
      <c r="Q346" t="s">
        <v>59</v>
      </c>
      <c r="R346"/>
      <c r="S346" t="s">
        <v>43</v>
      </c>
      <c r="T346"/>
      <c r="U346" t="s">
        <v>44</v>
      </c>
      <c r="V346" t="s">
        <v>3812</v>
      </c>
      <c r="W346" s="88" t="s">
        <v>4034</v>
      </c>
    </row>
    <row r="347" spans="1:23" ht="14.4">
      <c r="A347" s="7" t="s">
        <v>61</v>
      </c>
      <c r="B347" t="s">
        <v>20</v>
      </c>
      <c r="C347" t="s">
        <v>21</v>
      </c>
      <c r="D347" s="7" t="s">
        <v>466</v>
      </c>
      <c r="E347" s="7" t="s">
        <v>467</v>
      </c>
      <c r="F347" s="7" t="s">
        <v>468</v>
      </c>
      <c r="G347" s="7" t="s">
        <v>2584</v>
      </c>
      <c r="H347" s="85" t="s">
        <v>3257</v>
      </c>
      <c r="I347" s="85" t="s">
        <v>2736</v>
      </c>
      <c r="J347" s="85"/>
      <c r="K347" s="85" t="s">
        <v>855</v>
      </c>
      <c r="L347" s="85">
        <v>5</v>
      </c>
      <c r="M347" s="20">
        <f>Table9[[#This Row],[Rate
(Please Select from the list)]]/5</f>
        <v>1</v>
      </c>
      <c r="N347" s="73">
        <v>4.3499999999999996</v>
      </c>
      <c r="O347" s="74">
        <f>Table9[[#This Row],[Score %]]*Table9[[#This Row],[Item Weight
(Please Select from the list)]]</f>
        <v>4.3499999999999996</v>
      </c>
      <c r="P347" s="80">
        <v>5</v>
      </c>
      <c r="Q347" t="s">
        <v>59</v>
      </c>
      <c r="R347"/>
      <c r="S347" t="s">
        <v>57</v>
      </c>
      <c r="T347"/>
      <c r="U347" t="s">
        <v>58</v>
      </c>
      <c r="V347" t="s">
        <v>3851</v>
      </c>
      <c r="W347" s="88" t="s">
        <v>4034</v>
      </c>
    </row>
    <row r="348" spans="1:23" ht="14.4">
      <c r="A348" s="7" t="s">
        <v>61</v>
      </c>
      <c r="B348" t="s">
        <v>20</v>
      </c>
      <c r="C348" t="s">
        <v>21</v>
      </c>
      <c r="D348" s="7" t="s">
        <v>469</v>
      </c>
      <c r="E348" s="7" t="s">
        <v>470</v>
      </c>
      <c r="F348" s="7" t="s">
        <v>471</v>
      </c>
      <c r="G348" s="7" t="s">
        <v>2584</v>
      </c>
      <c r="H348" s="85" t="s">
        <v>3258</v>
      </c>
      <c r="I348" s="85" t="s">
        <v>2739</v>
      </c>
      <c r="J348" s="85" t="s">
        <v>3259</v>
      </c>
      <c r="K348" s="85" t="s">
        <v>16</v>
      </c>
      <c r="L348" s="85">
        <v>0</v>
      </c>
      <c r="M348" s="20">
        <f>Table9[[#This Row],[Rate
(Please Select from the list)]]/5</f>
        <v>0</v>
      </c>
      <c r="N348" s="73">
        <v>2.61</v>
      </c>
      <c r="O348" s="74">
        <f>Table9[[#This Row],[Score %]]*Table9[[#This Row],[Item Weight
(Please Select from the list)]]</f>
        <v>0</v>
      </c>
      <c r="P348" s="80">
        <v>3</v>
      </c>
      <c r="Q348" t="s">
        <v>59</v>
      </c>
      <c r="R348"/>
      <c r="S348" t="s">
        <v>3828</v>
      </c>
      <c r="T348"/>
      <c r="U348" t="s">
        <v>45</v>
      </c>
      <c r="V348" t="s">
        <v>3829</v>
      </c>
      <c r="W348" s="88" t="s">
        <v>4034</v>
      </c>
    </row>
    <row r="349" spans="1:23" ht="14.4">
      <c r="A349" s="7" t="s">
        <v>61</v>
      </c>
      <c r="B349" t="s">
        <v>20</v>
      </c>
      <c r="C349" t="s">
        <v>21</v>
      </c>
      <c r="D349" s="7" t="s">
        <v>472</v>
      </c>
      <c r="E349" s="7" t="s">
        <v>473</v>
      </c>
      <c r="F349" s="7" t="s">
        <v>474</v>
      </c>
      <c r="G349" s="7" t="s">
        <v>2584</v>
      </c>
      <c r="H349" s="85" t="s">
        <v>3260</v>
      </c>
      <c r="I349" s="85" t="s">
        <v>2728</v>
      </c>
      <c r="J349" s="85"/>
      <c r="K349" s="85" t="s">
        <v>16</v>
      </c>
      <c r="L349" s="85">
        <v>4</v>
      </c>
      <c r="M349" s="20">
        <f>Table9[[#This Row],[Rate
(Please Select from the list)]]/5</f>
        <v>0.8</v>
      </c>
      <c r="N349" s="73">
        <v>2.61</v>
      </c>
      <c r="O349" s="74">
        <f>Table9[[#This Row],[Score %]]*Table9[[#This Row],[Item Weight
(Please Select from the list)]]</f>
        <v>2.0880000000000001</v>
      </c>
      <c r="P349" s="80">
        <v>3</v>
      </c>
      <c r="Q349" t="s">
        <v>15</v>
      </c>
      <c r="R349"/>
      <c r="S349" t="s">
        <v>57</v>
      </c>
      <c r="T349"/>
      <c r="U349" t="s">
        <v>44</v>
      </c>
      <c r="V349" t="s">
        <v>3812</v>
      </c>
      <c r="W349" s="88" t="s">
        <v>4034</v>
      </c>
    </row>
    <row r="350" spans="1:23" ht="14.4">
      <c r="A350" s="7" t="s">
        <v>61</v>
      </c>
      <c r="B350" t="s">
        <v>20</v>
      </c>
      <c r="C350" t="s">
        <v>21</v>
      </c>
      <c r="D350" s="7" t="s">
        <v>475</v>
      </c>
      <c r="E350" s="7" t="s">
        <v>476</v>
      </c>
      <c r="F350" s="7" t="s">
        <v>477</v>
      </c>
      <c r="G350" s="7" t="s">
        <v>2584</v>
      </c>
      <c r="H350" s="85" t="s">
        <v>3261</v>
      </c>
      <c r="I350" s="85" t="s">
        <v>2739</v>
      </c>
      <c r="J350" s="85" t="s">
        <v>3262</v>
      </c>
      <c r="K350" s="85" t="s">
        <v>16</v>
      </c>
      <c r="L350" s="85">
        <v>3</v>
      </c>
      <c r="M350" s="20">
        <f>Table9[[#This Row],[Rate
(Please Select from the list)]]/5</f>
        <v>0.6</v>
      </c>
      <c r="N350" s="73">
        <v>2.61</v>
      </c>
      <c r="O350" s="74">
        <f>Table9[[#This Row],[Score %]]*Table9[[#This Row],[Item Weight
(Please Select from the list)]]</f>
        <v>1.5659999999999998</v>
      </c>
      <c r="P350" s="80">
        <v>3</v>
      </c>
      <c r="Q350" t="s">
        <v>46</v>
      </c>
      <c r="R350" t="s">
        <v>3942</v>
      </c>
      <c r="S350" t="s">
        <v>29</v>
      </c>
      <c r="T350" s="86">
        <v>45421</v>
      </c>
      <c r="U350" t="s">
        <v>30</v>
      </c>
      <c r="V350" t="s">
        <v>3825</v>
      </c>
      <c r="W350" s="88" t="s">
        <v>4034</v>
      </c>
    </row>
    <row r="351" spans="1:23" ht="14.4">
      <c r="A351" s="7" t="s">
        <v>61</v>
      </c>
      <c r="B351" t="s">
        <v>20</v>
      </c>
      <c r="C351" t="s">
        <v>21</v>
      </c>
      <c r="D351" s="7" t="s">
        <v>478</v>
      </c>
      <c r="E351" s="7" t="s">
        <v>479</v>
      </c>
      <c r="F351" s="7" t="s">
        <v>480</v>
      </c>
      <c r="G351" s="7" t="s">
        <v>2584</v>
      </c>
      <c r="H351" s="85" t="s">
        <v>3263</v>
      </c>
      <c r="I351" s="85" t="s">
        <v>2736</v>
      </c>
      <c r="J351" s="85"/>
      <c r="K351" s="85" t="s">
        <v>16</v>
      </c>
      <c r="L351" s="85">
        <v>4</v>
      </c>
      <c r="M351" s="20">
        <f>Table9[[#This Row],[Rate
(Please Select from the list)]]/5</f>
        <v>0.8</v>
      </c>
      <c r="N351" s="73">
        <v>2.61</v>
      </c>
      <c r="O351" s="74">
        <f>Table9[[#This Row],[Score %]]*Table9[[#This Row],[Item Weight
(Please Select from the list)]]</f>
        <v>2.0880000000000001</v>
      </c>
      <c r="P351" s="80">
        <v>3</v>
      </c>
      <c r="Q351" t="s">
        <v>15</v>
      </c>
      <c r="R351"/>
      <c r="S351" t="s">
        <v>57</v>
      </c>
      <c r="T351"/>
      <c r="U351" t="s">
        <v>58</v>
      </c>
      <c r="V351" t="s">
        <v>3812</v>
      </c>
      <c r="W351" s="88" t="s">
        <v>4034</v>
      </c>
    </row>
    <row r="352" spans="1:23" ht="14.4">
      <c r="A352" s="7" t="s">
        <v>61</v>
      </c>
      <c r="B352" t="s">
        <v>20</v>
      </c>
      <c r="C352" t="s">
        <v>21</v>
      </c>
      <c r="D352" s="7" t="s">
        <v>481</v>
      </c>
      <c r="E352" s="7" t="s">
        <v>482</v>
      </c>
      <c r="F352" s="7" t="s">
        <v>483</v>
      </c>
      <c r="G352" s="7" t="s">
        <v>2584</v>
      </c>
      <c r="H352" s="85" t="s">
        <v>3264</v>
      </c>
      <c r="I352" s="85" t="s">
        <v>2754</v>
      </c>
      <c r="J352" s="85" t="s">
        <v>3265</v>
      </c>
      <c r="K352" s="85" t="s">
        <v>16</v>
      </c>
      <c r="L352" s="85">
        <v>0</v>
      </c>
      <c r="M352" s="20">
        <f>Table9[[#This Row],[Rate
(Please Select from the list)]]/5</f>
        <v>0</v>
      </c>
      <c r="N352" s="73">
        <v>4.3499999999999996</v>
      </c>
      <c r="O352" s="74">
        <f>Table9[[#This Row],[Score %]]*Table9[[#This Row],[Item Weight
(Please Select from the list)]]</f>
        <v>0</v>
      </c>
      <c r="P352" s="80">
        <v>5</v>
      </c>
      <c r="Q352" t="s">
        <v>15</v>
      </c>
      <c r="R352"/>
      <c r="S352" t="s">
        <v>3828</v>
      </c>
      <c r="T352"/>
      <c r="U352" t="s">
        <v>45</v>
      </c>
      <c r="V352" t="s">
        <v>3829</v>
      </c>
      <c r="W352" s="88" t="s">
        <v>4034</v>
      </c>
    </row>
    <row r="353" spans="1:23" ht="14.4">
      <c r="A353" s="7" t="s">
        <v>61</v>
      </c>
      <c r="B353" t="s">
        <v>20</v>
      </c>
      <c r="C353" t="s">
        <v>21</v>
      </c>
      <c r="D353" s="7" t="s">
        <v>484</v>
      </c>
      <c r="E353" s="7" t="s">
        <v>485</v>
      </c>
      <c r="F353" s="7" t="s">
        <v>486</v>
      </c>
      <c r="G353" s="7" t="s">
        <v>2584</v>
      </c>
      <c r="H353" s="85" t="s">
        <v>3266</v>
      </c>
      <c r="I353" s="85" t="s">
        <v>2728</v>
      </c>
      <c r="J353" s="85"/>
      <c r="K353" s="85" t="s">
        <v>47</v>
      </c>
      <c r="L353" s="85">
        <v>4</v>
      </c>
      <c r="M353" s="20">
        <f>Table9[[#This Row],[Rate
(Please Select from the list)]]/5</f>
        <v>0.8</v>
      </c>
      <c r="N353" s="73">
        <v>2.61</v>
      </c>
      <c r="O353" s="74">
        <f>Table9[[#This Row],[Score %]]*Table9[[#This Row],[Item Weight
(Please Select from the list)]]</f>
        <v>2.0880000000000001</v>
      </c>
      <c r="P353" s="80">
        <v>3</v>
      </c>
      <c r="Q353" t="s">
        <v>46</v>
      </c>
      <c r="R353"/>
      <c r="S353" t="s">
        <v>57</v>
      </c>
      <c r="T353"/>
      <c r="U353" t="s">
        <v>44</v>
      </c>
      <c r="V353" t="s">
        <v>3812</v>
      </c>
      <c r="W353" s="88" t="s">
        <v>4034</v>
      </c>
    </row>
    <row r="354" spans="1:23" ht="14.4">
      <c r="A354" s="7" t="s">
        <v>61</v>
      </c>
      <c r="B354" t="s">
        <v>20</v>
      </c>
      <c r="C354" t="s">
        <v>21</v>
      </c>
      <c r="D354" s="7" t="s">
        <v>487</v>
      </c>
      <c r="E354" s="7" t="s">
        <v>488</v>
      </c>
      <c r="F354" s="7" t="s">
        <v>489</v>
      </c>
      <c r="G354" s="7" t="s">
        <v>2584</v>
      </c>
      <c r="H354" s="85" t="s">
        <v>3267</v>
      </c>
      <c r="I354" s="85" t="s">
        <v>2795</v>
      </c>
      <c r="J354" s="85"/>
      <c r="K354" s="85" t="s">
        <v>47</v>
      </c>
      <c r="L354" s="85">
        <v>4</v>
      </c>
      <c r="M354" s="20">
        <f>Table9[[#This Row],[Rate
(Please Select from the list)]]/5</f>
        <v>0.8</v>
      </c>
      <c r="N354" s="73">
        <v>2.61</v>
      </c>
      <c r="O354" s="74">
        <f>Table9[[#This Row],[Score %]]*Table9[[#This Row],[Item Weight
(Please Select from the list)]]</f>
        <v>2.0880000000000001</v>
      </c>
      <c r="P354" s="80">
        <v>3</v>
      </c>
      <c r="Q354" t="s">
        <v>59</v>
      </c>
      <c r="R354"/>
      <c r="S354" t="s">
        <v>43</v>
      </c>
      <c r="T354"/>
      <c r="U354" t="s">
        <v>58</v>
      </c>
      <c r="V354" t="s">
        <v>3812</v>
      </c>
      <c r="W354" s="88" t="s">
        <v>4034</v>
      </c>
    </row>
    <row r="355" spans="1:23" ht="14.4">
      <c r="A355" s="7" t="s">
        <v>61</v>
      </c>
      <c r="B355" t="s">
        <v>20</v>
      </c>
      <c r="C355" t="s">
        <v>21</v>
      </c>
      <c r="D355" s="7" t="s">
        <v>490</v>
      </c>
      <c r="E355" s="7" t="s">
        <v>491</v>
      </c>
      <c r="F355" s="7" t="s">
        <v>492</v>
      </c>
      <c r="G355" s="7" t="s">
        <v>2584</v>
      </c>
      <c r="H355" s="85" t="s">
        <v>3268</v>
      </c>
      <c r="I355" s="85" t="s">
        <v>2728</v>
      </c>
      <c r="J355" s="85" t="s">
        <v>3269</v>
      </c>
      <c r="K355" s="85" t="s">
        <v>16</v>
      </c>
      <c r="L355" s="85">
        <v>2</v>
      </c>
      <c r="M355" s="20">
        <f>Table9[[#This Row],[Rate
(Please Select from the list)]]/5</f>
        <v>0.4</v>
      </c>
      <c r="N355" s="73">
        <v>2.61</v>
      </c>
      <c r="O355" s="74">
        <f>Table9[[#This Row],[Score %]]*Table9[[#This Row],[Item Weight
(Please Select from the list)]]</f>
        <v>1.044</v>
      </c>
      <c r="P355" s="80">
        <v>3</v>
      </c>
      <c r="Q355" t="s">
        <v>46</v>
      </c>
      <c r="R355" t="s">
        <v>3943</v>
      </c>
      <c r="S355" t="s">
        <v>29</v>
      </c>
      <c r="T355" s="86">
        <v>45421</v>
      </c>
      <c r="U355" t="s">
        <v>14</v>
      </c>
      <c r="V355" t="s">
        <v>3847</v>
      </c>
      <c r="W355" s="88" t="s">
        <v>4034</v>
      </c>
    </row>
    <row r="356" spans="1:23" ht="14.4">
      <c r="A356" s="7" t="s">
        <v>61</v>
      </c>
      <c r="B356" t="s">
        <v>20</v>
      </c>
      <c r="C356" t="s">
        <v>21</v>
      </c>
      <c r="D356" s="7" t="s">
        <v>493</v>
      </c>
      <c r="E356" s="7" t="s">
        <v>494</v>
      </c>
      <c r="F356" s="7" t="s">
        <v>495</v>
      </c>
      <c r="G356" s="7" t="s">
        <v>2584</v>
      </c>
      <c r="H356" s="85" t="s">
        <v>3270</v>
      </c>
      <c r="I356" s="85" t="s">
        <v>2716</v>
      </c>
      <c r="J356" s="85" t="s">
        <v>3271</v>
      </c>
      <c r="K356" s="85" t="s">
        <v>16</v>
      </c>
      <c r="L356" s="85">
        <v>3</v>
      </c>
      <c r="M356" s="20">
        <f>Table9[[#This Row],[Rate
(Please Select from the list)]]/5</f>
        <v>0.6</v>
      </c>
      <c r="N356" s="73">
        <v>2.61</v>
      </c>
      <c r="O356" s="74">
        <f>Table9[[#This Row],[Score %]]*Table9[[#This Row],[Item Weight
(Please Select from the list)]]</f>
        <v>1.5659999999999998</v>
      </c>
      <c r="P356" s="80">
        <v>3</v>
      </c>
      <c r="Q356" t="s">
        <v>46</v>
      </c>
      <c r="R356"/>
      <c r="S356" t="s">
        <v>43</v>
      </c>
      <c r="T356"/>
      <c r="U356" t="s">
        <v>44</v>
      </c>
      <c r="V356" t="s">
        <v>3825</v>
      </c>
      <c r="W356" s="88" t="s">
        <v>4034</v>
      </c>
    </row>
    <row r="357" spans="1:23" ht="14.4">
      <c r="A357" s="7" t="s">
        <v>61</v>
      </c>
      <c r="B357" t="s">
        <v>20</v>
      </c>
      <c r="C357" t="s">
        <v>21</v>
      </c>
      <c r="D357" s="7" t="s">
        <v>496</v>
      </c>
      <c r="E357" s="7" t="s">
        <v>497</v>
      </c>
      <c r="F357" s="7" t="s">
        <v>498</v>
      </c>
      <c r="G357" s="7" t="s">
        <v>2584</v>
      </c>
      <c r="H357" s="85" t="s">
        <v>3272</v>
      </c>
      <c r="I357" s="85" t="s">
        <v>2716</v>
      </c>
      <c r="J357" s="85"/>
      <c r="K357" s="85" t="s">
        <v>16</v>
      </c>
      <c r="L357" s="85">
        <v>4</v>
      </c>
      <c r="M357" s="20">
        <f>Table9[[#This Row],[Rate
(Please Select from the list)]]/5</f>
        <v>0.8</v>
      </c>
      <c r="N357" s="73">
        <v>3.48</v>
      </c>
      <c r="O357" s="74">
        <f>Table9[[#This Row],[Score %]]*Table9[[#This Row],[Item Weight
(Please Select from the list)]]</f>
        <v>2.7840000000000003</v>
      </c>
      <c r="P357" s="80">
        <v>4</v>
      </c>
      <c r="Q357" t="s">
        <v>46</v>
      </c>
      <c r="R357"/>
      <c r="S357" t="s">
        <v>57</v>
      </c>
      <c r="T357"/>
      <c r="U357" t="s">
        <v>44</v>
      </c>
      <c r="V357" t="s">
        <v>3812</v>
      </c>
      <c r="W357" s="88" t="s">
        <v>4034</v>
      </c>
    </row>
    <row r="358" spans="1:23" ht="14.4">
      <c r="A358" s="7" t="s">
        <v>61</v>
      </c>
      <c r="B358" t="s">
        <v>20</v>
      </c>
      <c r="C358" t="s">
        <v>21</v>
      </c>
      <c r="D358" s="7" t="s">
        <v>499</v>
      </c>
      <c r="E358" s="7" t="s">
        <v>500</v>
      </c>
      <c r="F358" s="7" t="s">
        <v>501</v>
      </c>
      <c r="G358" s="7" t="s">
        <v>2584</v>
      </c>
      <c r="H358" s="85" t="s">
        <v>3273</v>
      </c>
      <c r="I358" s="85" t="s">
        <v>2728</v>
      </c>
      <c r="J358" s="85" t="s">
        <v>3274</v>
      </c>
      <c r="K358" s="85" t="s">
        <v>16</v>
      </c>
      <c r="L358" s="85">
        <v>3</v>
      </c>
      <c r="M358" s="20">
        <f>Table9[[#This Row],[Rate
(Please Select from the list)]]/5</f>
        <v>0.6</v>
      </c>
      <c r="N358" s="73">
        <v>2.61</v>
      </c>
      <c r="O358" s="74">
        <f>Table9[[#This Row],[Score %]]*Table9[[#This Row],[Item Weight
(Please Select from the list)]]</f>
        <v>1.5659999999999998</v>
      </c>
      <c r="P358" s="80">
        <v>3</v>
      </c>
      <c r="Q358" t="s">
        <v>46</v>
      </c>
      <c r="R358" t="s">
        <v>3944</v>
      </c>
      <c r="S358" t="s">
        <v>29</v>
      </c>
      <c r="T358" s="86">
        <v>45421</v>
      </c>
      <c r="U358" t="s">
        <v>30</v>
      </c>
      <c r="V358" t="s">
        <v>3813</v>
      </c>
      <c r="W358" s="88" t="s">
        <v>4034</v>
      </c>
    </row>
    <row r="359" spans="1:23" ht="14.4">
      <c r="A359" s="7" t="s">
        <v>61</v>
      </c>
      <c r="B359" t="s">
        <v>20</v>
      </c>
      <c r="C359" t="s">
        <v>21</v>
      </c>
      <c r="D359" s="7" t="s">
        <v>502</v>
      </c>
      <c r="E359" s="7" t="s">
        <v>503</v>
      </c>
      <c r="F359" s="7" t="s">
        <v>504</v>
      </c>
      <c r="G359" s="7" t="s">
        <v>2584</v>
      </c>
      <c r="H359" s="85" t="s">
        <v>3275</v>
      </c>
      <c r="I359" s="85" t="s">
        <v>2795</v>
      </c>
      <c r="J359" s="85"/>
      <c r="K359" s="85" t="s">
        <v>16</v>
      </c>
      <c r="L359" s="85">
        <v>4</v>
      </c>
      <c r="M359" s="20">
        <f>Table9[[#This Row],[Rate
(Please Select from the list)]]/5</f>
        <v>0.8</v>
      </c>
      <c r="N359" s="73">
        <v>2.61</v>
      </c>
      <c r="O359" s="74">
        <f>Table9[[#This Row],[Score %]]*Table9[[#This Row],[Item Weight
(Please Select from the list)]]</f>
        <v>2.0880000000000001</v>
      </c>
      <c r="P359" s="80">
        <v>3</v>
      </c>
      <c r="Q359" t="s">
        <v>3852</v>
      </c>
      <c r="R359"/>
      <c r="S359" t="s">
        <v>57</v>
      </c>
      <c r="T359"/>
      <c r="U359" t="s">
        <v>58</v>
      </c>
      <c r="V359" t="s">
        <v>3812</v>
      </c>
      <c r="W359" s="88" t="s">
        <v>4034</v>
      </c>
    </row>
    <row r="360" spans="1:23" ht="14.4">
      <c r="A360" s="7" t="s">
        <v>61</v>
      </c>
      <c r="B360" t="s">
        <v>20</v>
      </c>
      <c r="C360" t="s">
        <v>21</v>
      </c>
      <c r="D360" s="7" t="s">
        <v>505</v>
      </c>
      <c r="E360" s="7" t="s">
        <v>506</v>
      </c>
      <c r="F360" s="7" t="s">
        <v>507</v>
      </c>
      <c r="G360" s="7" t="s">
        <v>2584</v>
      </c>
      <c r="H360" s="85" t="s">
        <v>3276</v>
      </c>
      <c r="I360" s="85" t="s">
        <v>2718</v>
      </c>
      <c r="J360" s="85"/>
      <c r="K360" s="85" t="s">
        <v>47</v>
      </c>
      <c r="L360" s="85">
        <v>4</v>
      </c>
      <c r="M360" s="20">
        <f>Table9[[#This Row],[Rate
(Please Select from the list)]]/5</f>
        <v>0.8</v>
      </c>
      <c r="N360" s="73">
        <v>3.48</v>
      </c>
      <c r="O360" s="74">
        <f>Table9[[#This Row],[Score %]]*Table9[[#This Row],[Item Weight
(Please Select from the list)]]</f>
        <v>2.7840000000000003</v>
      </c>
      <c r="P360" s="80">
        <v>4</v>
      </c>
      <c r="Q360" t="s">
        <v>46</v>
      </c>
      <c r="R360"/>
      <c r="S360" t="s">
        <v>57</v>
      </c>
      <c r="T360"/>
      <c r="U360" t="s">
        <v>44</v>
      </c>
      <c r="V360" t="s">
        <v>3812</v>
      </c>
      <c r="W360" s="88" t="s">
        <v>4034</v>
      </c>
    </row>
    <row r="361" spans="1:23" ht="14.4">
      <c r="A361" s="7" t="s">
        <v>61</v>
      </c>
      <c r="B361" t="s">
        <v>20</v>
      </c>
      <c r="C361" t="s">
        <v>21</v>
      </c>
      <c r="D361" s="7" t="s">
        <v>508</v>
      </c>
      <c r="E361" s="7" t="s">
        <v>509</v>
      </c>
      <c r="F361" s="7" t="s">
        <v>510</v>
      </c>
      <c r="G361" s="7" t="s">
        <v>2584</v>
      </c>
      <c r="H361" s="85" t="s">
        <v>3277</v>
      </c>
      <c r="I361" s="85" t="s">
        <v>2754</v>
      </c>
      <c r="J361" s="85"/>
      <c r="K361" s="85" t="s">
        <v>47</v>
      </c>
      <c r="L361" s="85">
        <v>4</v>
      </c>
      <c r="M361" s="20">
        <f>Table9[[#This Row],[Rate
(Please Select from the list)]]/5</f>
        <v>0.8</v>
      </c>
      <c r="N361" s="73">
        <v>2.61</v>
      </c>
      <c r="O361" s="74">
        <f>Table9[[#This Row],[Score %]]*Table9[[#This Row],[Item Weight
(Please Select from the list)]]</f>
        <v>2.0880000000000001</v>
      </c>
      <c r="P361" s="80">
        <v>3</v>
      </c>
      <c r="Q361" t="s">
        <v>31</v>
      </c>
      <c r="R361"/>
      <c r="S361" t="s">
        <v>57</v>
      </c>
      <c r="T361"/>
      <c r="U361" t="s">
        <v>44</v>
      </c>
      <c r="V361" t="s">
        <v>3812</v>
      </c>
      <c r="W361" s="88" t="s">
        <v>4034</v>
      </c>
    </row>
    <row r="362" spans="1:23" ht="14.4">
      <c r="A362" s="7" t="s">
        <v>61</v>
      </c>
      <c r="B362" t="s">
        <v>20</v>
      </c>
      <c r="C362" t="s">
        <v>21</v>
      </c>
      <c r="D362" s="7" t="s">
        <v>511</v>
      </c>
      <c r="E362" s="7" t="s">
        <v>512</v>
      </c>
      <c r="F362" s="7" t="s">
        <v>513</v>
      </c>
      <c r="G362" s="7" t="s">
        <v>2584</v>
      </c>
      <c r="H362" s="85" t="s">
        <v>3278</v>
      </c>
      <c r="I362" s="85" t="s">
        <v>2716</v>
      </c>
      <c r="J362" s="85" t="s">
        <v>3279</v>
      </c>
      <c r="K362" s="85" t="s">
        <v>16</v>
      </c>
      <c r="L362" s="85">
        <v>3</v>
      </c>
      <c r="M362" s="20">
        <f>Table9[[#This Row],[Rate
(Please Select from the list)]]/5</f>
        <v>0.6</v>
      </c>
      <c r="N362" s="73">
        <v>3.48</v>
      </c>
      <c r="O362" s="74">
        <f>Table9[[#This Row],[Score %]]*Table9[[#This Row],[Item Weight
(Please Select from the list)]]</f>
        <v>2.0880000000000001</v>
      </c>
      <c r="P362" s="80">
        <v>4</v>
      </c>
      <c r="Q362" t="s">
        <v>15</v>
      </c>
      <c r="R362"/>
      <c r="S362" t="s">
        <v>43</v>
      </c>
      <c r="T362"/>
      <c r="U362" t="s">
        <v>44</v>
      </c>
      <c r="V362" t="s">
        <v>3839</v>
      </c>
      <c r="W362" s="88" t="s">
        <v>4034</v>
      </c>
    </row>
    <row r="363" spans="1:23" ht="14.4">
      <c r="A363" s="7" t="s">
        <v>61</v>
      </c>
      <c r="B363" t="s">
        <v>20</v>
      </c>
      <c r="C363" t="s">
        <v>21</v>
      </c>
      <c r="D363" s="7" t="s">
        <v>514</v>
      </c>
      <c r="E363" s="7" t="s">
        <v>515</v>
      </c>
      <c r="F363" s="7" t="s">
        <v>516</v>
      </c>
      <c r="G363" s="7" t="s">
        <v>2584</v>
      </c>
      <c r="H363" s="85" t="s">
        <v>3280</v>
      </c>
      <c r="I363" s="85" t="s">
        <v>2716</v>
      </c>
      <c r="J363" s="85"/>
      <c r="K363" s="85" t="s">
        <v>47</v>
      </c>
      <c r="L363" s="85">
        <v>4</v>
      </c>
      <c r="M363" s="20">
        <f>Table9[[#This Row],[Rate
(Please Select from the list)]]/5</f>
        <v>0.8</v>
      </c>
      <c r="N363" s="73">
        <v>2.61</v>
      </c>
      <c r="O363" s="74">
        <f>Table9[[#This Row],[Score %]]*Table9[[#This Row],[Item Weight
(Please Select from the list)]]</f>
        <v>2.0880000000000001</v>
      </c>
      <c r="P363" s="80">
        <v>3</v>
      </c>
      <c r="Q363" t="s">
        <v>15</v>
      </c>
      <c r="R363"/>
      <c r="S363" t="s">
        <v>57</v>
      </c>
      <c r="T363"/>
      <c r="U363" t="s">
        <v>44</v>
      </c>
      <c r="V363" t="s">
        <v>3812</v>
      </c>
      <c r="W363" s="88" t="s">
        <v>4034</v>
      </c>
    </row>
    <row r="364" spans="1:23" ht="14.4">
      <c r="A364" s="7" t="s">
        <v>61</v>
      </c>
      <c r="B364" t="s">
        <v>20</v>
      </c>
      <c r="C364" t="s">
        <v>21</v>
      </c>
      <c r="D364" s="7" t="s">
        <v>517</v>
      </c>
      <c r="E364" s="7" t="s">
        <v>518</v>
      </c>
      <c r="F364" s="7" t="s">
        <v>519</v>
      </c>
      <c r="G364" s="7" t="s">
        <v>2584</v>
      </c>
      <c r="H364" s="85" t="s">
        <v>3281</v>
      </c>
      <c r="I364" s="85" t="s">
        <v>2725</v>
      </c>
      <c r="J364" s="85"/>
      <c r="K364" s="85" t="s">
        <v>47</v>
      </c>
      <c r="L364" s="85">
        <v>4</v>
      </c>
      <c r="M364" s="20">
        <f>Table9[[#This Row],[Rate
(Please Select from the list)]]/5</f>
        <v>0.8</v>
      </c>
      <c r="N364" s="73">
        <v>2.61</v>
      </c>
      <c r="O364" s="74">
        <f>Table9[[#This Row],[Score %]]*Table9[[#This Row],[Item Weight
(Please Select from the list)]]</f>
        <v>2.0880000000000001</v>
      </c>
      <c r="P364" s="80">
        <v>3</v>
      </c>
      <c r="Q364" t="s">
        <v>59</v>
      </c>
      <c r="R364"/>
      <c r="S364" t="s">
        <v>57</v>
      </c>
      <c r="T364"/>
      <c r="U364" t="s">
        <v>44</v>
      </c>
      <c r="V364" t="s">
        <v>3812</v>
      </c>
      <c r="W364" s="88" t="s">
        <v>4034</v>
      </c>
    </row>
    <row r="365" spans="1:23" ht="14.4">
      <c r="A365" s="7" t="s">
        <v>61</v>
      </c>
      <c r="B365" t="s">
        <v>20</v>
      </c>
      <c r="C365" t="s">
        <v>21</v>
      </c>
      <c r="D365" s="7" t="s">
        <v>520</v>
      </c>
      <c r="E365" s="7" t="s">
        <v>521</v>
      </c>
      <c r="F365" s="7" t="s">
        <v>522</v>
      </c>
      <c r="G365" s="7" t="s">
        <v>2584</v>
      </c>
      <c r="H365" s="85" t="s">
        <v>3282</v>
      </c>
      <c r="I365" s="85" t="s">
        <v>2725</v>
      </c>
      <c r="J365" s="85"/>
      <c r="K365" s="85" t="s">
        <v>47</v>
      </c>
      <c r="L365" s="85">
        <v>4</v>
      </c>
      <c r="M365" s="20">
        <f>Table9[[#This Row],[Rate
(Please Select from the list)]]/5</f>
        <v>0.8</v>
      </c>
      <c r="N365" s="73">
        <v>2.61</v>
      </c>
      <c r="O365" s="74">
        <f>Table9[[#This Row],[Score %]]*Table9[[#This Row],[Item Weight
(Please Select from the list)]]</f>
        <v>2.0880000000000001</v>
      </c>
      <c r="P365" s="80">
        <v>3</v>
      </c>
      <c r="Q365" t="s">
        <v>59</v>
      </c>
      <c r="R365"/>
      <c r="S365" t="s">
        <v>57</v>
      </c>
      <c r="T365"/>
      <c r="U365" t="s">
        <v>58</v>
      </c>
      <c r="V365" t="s">
        <v>3812</v>
      </c>
      <c r="W365" s="88" t="s">
        <v>4034</v>
      </c>
    </row>
    <row r="366" spans="1:23" ht="14.4">
      <c r="A366" s="7" t="s">
        <v>61</v>
      </c>
      <c r="B366" t="s">
        <v>20</v>
      </c>
      <c r="C366" t="s">
        <v>21</v>
      </c>
      <c r="D366" s="7" t="s">
        <v>523</v>
      </c>
      <c r="E366" s="7" t="s">
        <v>524</v>
      </c>
      <c r="F366" s="7" t="s">
        <v>525</v>
      </c>
      <c r="G366" s="7" t="s">
        <v>2584</v>
      </c>
      <c r="H366" s="85" t="s">
        <v>3283</v>
      </c>
      <c r="I366" s="85" t="s">
        <v>2748</v>
      </c>
      <c r="J366" s="85"/>
      <c r="K366" s="85" t="s">
        <v>47</v>
      </c>
      <c r="L366" s="85">
        <v>4</v>
      </c>
      <c r="M366" s="20">
        <f>Table9[[#This Row],[Rate
(Please Select from the list)]]/5</f>
        <v>0.8</v>
      </c>
      <c r="N366" s="73">
        <v>2.61</v>
      </c>
      <c r="O366" s="74">
        <f>Table9[[#This Row],[Score %]]*Table9[[#This Row],[Item Weight
(Please Select from the list)]]</f>
        <v>2.0880000000000001</v>
      </c>
      <c r="P366" s="80">
        <v>3</v>
      </c>
      <c r="Q366" t="s">
        <v>59</v>
      </c>
      <c r="R366"/>
      <c r="S366" t="s">
        <v>57</v>
      </c>
      <c r="T366"/>
      <c r="U366" t="s">
        <v>58</v>
      </c>
      <c r="V366" t="s">
        <v>3812</v>
      </c>
      <c r="W366" s="88" t="s">
        <v>4034</v>
      </c>
    </row>
    <row r="367" spans="1:23" ht="14.4">
      <c r="A367" s="7" t="s">
        <v>61</v>
      </c>
      <c r="B367" t="s">
        <v>20</v>
      </c>
      <c r="C367" t="s">
        <v>21</v>
      </c>
      <c r="D367" s="7" t="s">
        <v>526</v>
      </c>
      <c r="E367" s="7" t="s">
        <v>527</v>
      </c>
      <c r="F367" s="7" t="s">
        <v>528</v>
      </c>
      <c r="G367" s="7" t="s">
        <v>2584</v>
      </c>
      <c r="H367" s="85" t="s">
        <v>3284</v>
      </c>
      <c r="I367" s="85" t="s">
        <v>2725</v>
      </c>
      <c r="J367" s="85"/>
      <c r="K367" s="85" t="s">
        <v>855</v>
      </c>
      <c r="L367" s="85">
        <v>4</v>
      </c>
      <c r="M367" s="20">
        <f>Table9[[#This Row],[Rate
(Please Select from the list)]]/5</f>
        <v>0.8</v>
      </c>
      <c r="N367" s="73">
        <v>4.3499999999999996</v>
      </c>
      <c r="O367" s="74">
        <f>Table9[[#This Row],[Score %]]*Table9[[#This Row],[Item Weight
(Please Select from the list)]]</f>
        <v>3.48</v>
      </c>
      <c r="P367" s="80">
        <v>5</v>
      </c>
      <c r="Q367" t="s">
        <v>31</v>
      </c>
      <c r="R367"/>
      <c r="S367" t="s">
        <v>57</v>
      </c>
      <c r="T367"/>
      <c r="U367" t="s">
        <v>58</v>
      </c>
      <c r="V367" t="s">
        <v>3812</v>
      </c>
      <c r="W367" s="88" t="s">
        <v>4034</v>
      </c>
    </row>
    <row r="368" spans="1:23" ht="14.4">
      <c r="A368" s="7" t="s">
        <v>61</v>
      </c>
      <c r="B368" t="s">
        <v>20</v>
      </c>
      <c r="C368" t="s">
        <v>21</v>
      </c>
      <c r="D368" s="7" t="s">
        <v>529</v>
      </c>
      <c r="E368" s="7" t="s">
        <v>530</v>
      </c>
      <c r="F368" s="7" t="s">
        <v>531</v>
      </c>
      <c r="G368" s="7" t="s">
        <v>2584</v>
      </c>
      <c r="H368" s="85" t="s">
        <v>3285</v>
      </c>
      <c r="I368" s="85" t="s">
        <v>2728</v>
      </c>
      <c r="J368" s="85" t="s">
        <v>3286</v>
      </c>
      <c r="K368" s="85" t="s">
        <v>16</v>
      </c>
      <c r="L368" s="85">
        <v>3</v>
      </c>
      <c r="M368" s="20">
        <f>Table9[[#This Row],[Rate
(Please Select from the list)]]/5</f>
        <v>0.6</v>
      </c>
      <c r="N368" s="73">
        <v>2.61</v>
      </c>
      <c r="O368" s="74">
        <f>Table9[[#This Row],[Score %]]*Table9[[#This Row],[Item Weight
(Please Select from the list)]]</f>
        <v>1.5659999999999998</v>
      </c>
      <c r="P368" s="80">
        <v>3</v>
      </c>
      <c r="Q368" t="s">
        <v>15</v>
      </c>
      <c r="R368"/>
      <c r="S368" t="s">
        <v>43</v>
      </c>
      <c r="T368"/>
      <c r="U368" t="s">
        <v>44</v>
      </c>
      <c r="V368" t="s">
        <v>3825</v>
      </c>
      <c r="W368" s="88" t="s">
        <v>4034</v>
      </c>
    </row>
    <row r="369" spans="1:23" ht="14.4">
      <c r="A369" s="7" t="s">
        <v>61</v>
      </c>
      <c r="B369" t="s">
        <v>20</v>
      </c>
      <c r="C369" t="s">
        <v>21</v>
      </c>
      <c r="D369" s="7" t="s">
        <v>532</v>
      </c>
      <c r="E369" s="7" t="s">
        <v>533</v>
      </c>
      <c r="F369" s="7" t="s">
        <v>534</v>
      </c>
      <c r="G369" s="7" t="s">
        <v>2584</v>
      </c>
      <c r="H369" s="85" t="s">
        <v>3287</v>
      </c>
      <c r="I369" s="85" t="s">
        <v>2718</v>
      </c>
      <c r="J369" s="85"/>
      <c r="K369" s="85" t="s">
        <v>855</v>
      </c>
      <c r="L369" s="85">
        <v>4</v>
      </c>
      <c r="M369" s="20">
        <f>Table9[[#This Row],[Rate
(Please Select from the list)]]/5</f>
        <v>0.8</v>
      </c>
      <c r="N369" s="73">
        <v>2.61</v>
      </c>
      <c r="O369" s="74">
        <f>Table9[[#This Row],[Score %]]*Table9[[#This Row],[Item Weight
(Please Select from the list)]]</f>
        <v>2.0880000000000001</v>
      </c>
      <c r="P369" s="80">
        <v>3</v>
      </c>
      <c r="Q369" t="s">
        <v>59</v>
      </c>
      <c r="R369"/>
      <c r="S369" t="s">
        <v>57</v>
      </c>
      <c r="T369"/>
      <c r="U369" t="s">
        <v>58</v>
      </c>
      <c r="V369" t="s">
        <v>3812</v>
      </c>
      <c r="W369" s="88" t="s">
        <v>4034</v>
      </c>
    </row>
    <row r="370" spans="1:23" ht="14.4">
      <c r="A370" s="7" t="s">
        <v>61</v>
      </c>
      <c r="B370" t="s">
        <v>20</v>
      </c>
      <c r="C370" t="s">
        <v>21</v>
      </c>
      <c r="D370" s="7" t="s">
        <v>535</v>
      </c>
      <c r="E370" s="7" t="s">
        <v>536</v>
      </c>
      <c r="F370" s="7" t="s">
        <v>537</v>
      </c>
      <c r="G370" s="7" t="s">
        <v>2584</v>
      </c>
      <c r="H370" s="85" t="s">
        <v>3288</v>
      </c>
      <c r="I370" s="85" t="s">
        <v>2739</v>
      </c>
      <c r="J370" s="85" t="s">
        <v>3289</v>
      </c>
      <c r="K370" s="85" t="s">
        <v>16</v>
      </c>
      <c r="L370" s="85">
        <v>3</v>
      </c>
      <c r="M370" s="20">
        <f>Table9[[#This Row],[Rate
(Please Select from the list)]]/5</f>
        <v>0.6</v>
      </c>
      <c r="N370" s="73">
        <v>2.61</v>
      </c>
      <c r="O370" s="74">
        <f>Table9[[#This Row],[Score %]]*Table9[[#This Row],[Item Weight
(Please Select from the list)]]</f>
        <v>1.5659999999999998</v>
      </c>
      <c r="P370" s="80">
        <v>3</v>
      </c>
      <c r="Q370" t="s">
        <v>46</v>
      </c>
      <c r="R370"/>
      <c r="S370" t="s">
        <v>43</v>
      </c>
      <c r="T370"/>
      <c r="U370" t="s">
        <v>44</v>
      </c>
      <c r="V370" t="s">
        <v>3825</v>
      </c>
      <c r="W370" s="88" t="s">
        <v>4034</v>
      </c>
    </row>
    <row r="371" spans="1:23" ht="14.4">
      <c r="A371" s="7" t="s">
        <v>61</v>
      </c>
      <c r="B371" t="s">
        <v>20</v>
      </c>
      <c r="C371" t="s">
        <v>21</v>
      </c>
      <c r="D371" s="7" t="s">
        <v>538</v>
      </c>
      <c r="E371" s="7" t="s">
        <v>539</v>
      </c>
      <c r="F371" s="7" t="s">
        <v>540</v>
      </c>
      <c r="G371" s="7" t="s">
        <v>2584</v>
      </c>
      <c r="H371" s="85" t="s">
        <v>3290</v>
      </c>
      <c r="I371" s="85" t="s">
        <v>2736</v>
      </c>
      <c r="J371" s="85" t="s">
        <v>3291</v>
      </c>
      <c r="K371" s="85" t="s">
        <v>16</v>
      </c>
      <c r="L371" s="85">
        <v>3</v>
      </c>
      <c r="M371" s="20">
        <f>Table9[[#This Row],[Rate
(Please Select from the list)]]/5</f>
        <v>0.6</v>
      </c>
      <c r="N371" s="73">
        <v>2.61</v>
      </c>
      <c r="O371" s="74">
        <f>Table9[[#This Row],[Score %]]*Table9[[#This Row],[Item Weight
(Please Select from the list)]]</f>
        <v>1.5659999999999998</v>
      </c>
      <c r="P371" s="80">
        <v>3</v>
      </c>
      <c r="Q371" t="s">
        <v>59</v>
      </c>
      <c r="R371"/>
      <c r="S371" t="s">
        <v>43</v>
      </c>
      <c r="T371"/>
      <c r="U371" t="s">
        <v>44</v>
      </c>
      <c r="V371" t="s">
        <v>3825</v>
      </c>
      <c r="W371" s="88" t="s">
        <v>4034</v>
      </c>
    </row>
    <row r="372" spans="1:23" ht="14.4">
      <c r="A372" s="7" t="s">
        <v>61</v>
      </c>
      <c r="B372" t="s">
        <v>20</v>
      </c>
      <c r="C372" t="s">
        <v>21</v>
      </c>
      <c r="D372" s="7" t="s">
        <v>541</v>
      </c>
      <c r="E372" s="7" t="s">
        <v>542</v>
      </c>
      <c r="F372" s="7" t="s">
        <v>543</v>
      </c>
      <c r="G372" s="7" t="s">
        <v>2584</v>
      </c>
      <c r="H372" s="85" t="s">
        <v>3292</v>
      </c>
      <c r="I372" s="85" t="s">
        <v>2716</v>
      </c>
      <c r="J372" s="85"/>
      <c r="K372" s="85" t="s">
        <v>16</v>
      </c>
      <c r="L372" s="85">
        <v>4</v>
      </c>
      <c r="M372" s="20">
        <f>Table9[[#This Row],[Rate
(Please Select from the list)]]/5</f>
        <v>0.8</v>
      </c>
      <c r="N372" s="73">
        <v>2.61</v>
      </c>
      <c r="O372" s="74">
        <f>Table9[[#This Row],[Score %]]*Table9[[#This Row],[Item Weight
(Please Select from the list)]]</f>
        <v>2.0880000000000001</v>
      </c>
      <c r="P372" s="80">
        <v>3</v>
      </c>
      <c r="Q372" t="s">
        <v>46</v>
      </c>
      <c r="R372" t="s">
        <v>3945</v>
      </c>
      <c r="S372" t="s">
        <v>43</v>
      </c>
      <c r="T372" t="s">
        <v>3844</v>
      </c>
      <c r="U372" t="s">
        <v>30</v>
      </c>
      <c r="V372" t="s">
        <v>3812</v>
      </c>
      <c r="W372" s="88" t="s">
        <v>4034</v>
      </c>
    </row>
    <row r="373" spans="1:23" ht="14.4">
      <c r="A373" s="7" t="s">
        <v>61</v>
      </c>
      <c r="B373" t="s">
        <v>20</v>
      </c>
      <c r="C373" t="s">
        <v>21</v>
      </c>
      <c r="D373" s="7" t="s">
        <v>544</v>
      </c>
      <c r="E373" s="7" t="s">
        <v>545</v>
      </c>
      <c r="F373" s="7" t="s">
        <v>546</v>
      </c>
      <c r="G373" s="7" t="s">
        <v>2584</v>
      </c>
      <c r="H373" s="85" t="s">
        <v>3293</v>
      </c>
      <c r="I373" s="85" t="s">
        <v>2725</v>
      </c>
      <c r="J373" s="85"/>
      <c r="K373" s="85" t="s">
        <v>16</v>
      </c>
      <c r="L373" s="85">
        <v>4</v>
      </c>
      <c r="M373" s="20">
        <f>Table9[[#This Row],[Rate
(Please Select from the list)]]/5</f>
        <v>0.8</v>
      </c>
      <c r="N373" s="73">
        <v>2.61</v>
      </c>
      <c r="O373" s="74">
        <f>Table9[[#This Row],[Score %]]*Table9[[#This Row],[Item Weight
(Please Select from the list)]]</f>
        <v>2.0880000000000001</v>
      </c>
      <c r="P373" s="80">
        <v>3</v>
      </c>
      <c r="Q373" t="s">
        <v>46</v>
      </c>
      <c r="R373"/>
      <c r="S373" t="s">
        <v>57</v>
      </c>
      <c r="T373"/>
      <c r="U373" t="s">
        <v>44</v>
      </c>
      <c r="V373" t="s">
        <v>3812</v>
      </c>
      <c r="W373" s="88" t="s">
        <v>4034</v>
      </c>
    </row>
    <row r="374" spans="1:23" ht="14.4">
      <c r="A374" s="7" t="s">
        <v>61</v>
      </c>
      <c r="B374" t="s">
        <v>20</v>
      </c>
      <c r="C374" t="s">
        <v>21</v>
      </c>
      <c r="D374" s="7" t="s">
        <v>547</v>
      </c>
      <c r="E374" s="7" t="s">
        <v>548</v>
      </c>
      <c r="F374" s="7" t="s">
        <v>549</v>
      </c>
      <c r="G374" s="7" t="s">
        <v>2584</v>
      </c>
      <c r="H374" s="85" t="s">
        <v>3294</v>
      </c>
      <c r="I374" s="85" t="s">
        <v>2716</v>
      </c>
      <c r="J374" s="85" t="s">
        <v>3295</v>
      </c>
      <c r="K374" s="85" t="s">
        <v>16</v>
      </c>
      <c r="L374" s="85">
        <v>3</v>
      </c>
      <c r="M374" s="20">
        <f>Table9[[#This Row],[Rate
(Please Select from the list)]]/5</f>
        <v>0.6</v>
      </c>
      <c r="N374" s="73">
        <v>2.61</v>
      </c>
      <c r="O374" s="74">
        <f>Table9[[#This Row],[Score %]]*Table9[[#This Row],[Item Weight
(Please Select from the list)]]</f>
        <v>1.5659999999999998</v>
      </c>
      <c r="P374" s="80">
        <v>3</v>
      </c>
      <c r="Q374" t="s">
        <v>15</v>
      </c>
      <c r="R374"/>
      <c r="S374" t="s">
        <v>43</v>
      </c>
      <c r="T374"/>
      <c r="U374" t="s">
        <v>58</v>
      </c>
      <c r="V374" t="s">
        <v>3817</v>
      </c>
      <c r="W374" s="88" t="s">
        <v>4034</v>
      </c>
    </row>
    <row r="375" spans="1:23" ht="14.4">
      <c r="A375" s="7" t="s">
        <v>61</v>
      </c>
      <c r="B375" t="s">
        <v>20</v>
      </c>
      <c r="C375" t="s">
        <v>21</v>
      </c>
      <c r="D375" s="7" t="s">
        <v>550</v>
      </c>
      <c r="E375" s="7" t="s">
        <v>551</v>
      </c>
      <c r="F375" s="7" t="s">
        <v>552</v>
      </c>
      <c r="G375" s="7" t="s">
        <v>2584</v>
      </c>
      <c r="H375" s="85" t="s">
        <v>3296</v>
      </c>
      <c r="I375" s="85" t="s">
        <v>2716</v>
      </c>
      <c r="J375" s="85"/>
      <c r="K375" s="85" t="s">
        <v>16</v>
      </c>
      <c r="L375" s="85">
        <v>4</v>
      </c>
      <c r="M375" s="20">
        <f>Table9[[#This Row],[Rate
(Please Select from the list)]]/5</f>
        <v>0.8</v>
      </c>
      <c r="N375" s="73">
        <v>2.61</v>
      </c>
      <c r="O375" s="74">
        <f>Table9[[#This Row],[Score %]]*Table9[[#This Row],[Item Weight
(Please Select from the list)]]</f>
        <v>2.0880000000000001</v>
      </c>
      <c r="P375" s="80">
        <v>3</v>
      </c>
      <c r="Q375" t="s">
        <v>15</v>
      </c>
      <c r="R375"/>
      <c r="S375" t="s">
        <v>57</v>
      </c>
      <c r="T375"/>
      <c r="U375" t="s">
        <v>44</v>
      </c>
      <c r="V375" t="s">
        <v>3812</v>
      </c>
      <c r="W375" s="88" t="s">
        <v>4034</v>
      </c>
    </row>
    <row r="376" spans="1:23" ht="14.4">
      <c r="A376" s="7" t="s">
        <v>61</v>
      </c>
      <c r="B376" t="s">
        <v>20</v>
      </c>
      <c r="C376" t="s">
        <v>21</v>
      </c>
      <c r="D376" s="7" t="s">
        <v>553</v>
      </c>
      <c r="E376" s="7" t="s">
        <v>554</v>
      </c>
      <c r="F376" s="7" t="s">
        <v>555</v>
      </c>
      <c r="G376" s="7" t="s">
        <v>2584</v>
      </c>
      <c r="H376" s="85" t="s">
        <v>3297</v>
      </c>
      <c r="I376" s="85" t="s">
        <v>2731</v>
      </c>
      <c r="J376" s="85" t="s">
        <v>3298</v>
      </c>
      <c r="K376" s="85" t="s">
        <v>16</v>
      </c>
      <c r="L376" s="85">
        <v>2</v>
      </c>
      <c r="M376" s="20">
        <f>Table9[[#This Row],[Rate
(Please Select from the list)]]/5</f>
        <v>0.4</v>
      </c>
      <c r="N376" s="73">
        <v>2.61</v>
      </c>
      <c r="O376" s="74">
        <f>Table9[[#This Row],[Score %]]*Table9[[#This Row],[Item Weight
(Please Select from the list)]]</f>
        <v>1.044</v>
      </c>
      <c r="P376" s="80">
        <v>3</v>
      </c>
      <c r="Q376" t="s">
        <v>31</v>
      </c>
      <c r="R376"/>
      <c r="S376" t="s">
        <v>29</v>
      </c>
      <c r="T376"/>
      <c r="U376" t="s">
        <v>44</v>
      </c>
      <c r="V376" t="s">
        <v>3834</v>
      </c>
      <c r="W376" s="88" t="s">
        <v>4034</v>
      </c>
    </row>
    <row r="377" spans="1:23" ht="14.4">
      <c r="A377" s="7" t="s">
        <v>61</v>
      </c>
      <c r="B377" t="s">
        <v>20</v>
      </c>
      <c r="C377" t="s">
        <v>21</v>
      </c>
      <c r="D377" s="7" t="s">
        <v>556</v>
      </c>
      <c r="E377" s="7" t="s">
        <v>557</v>
      </c>
      <c r="F377" s="7" t="s">
        <v>558</v>
      </c>
      <c r="G377" s="7" t="s">
        <v>2584</v>
      </c>
      <c r="H377" s="85" t="s">
        <v>3299</v>
      </c>
      <c r="I377" s="85" t="s">
        <v>2725</v>
      </c>
      <c r="J377" s="85"/>
      <c r="K377" s="85" t="s">
        <v>47</v>
      </c>
      <c r="L377" s="85">
        <v>5</v>
      </c>
      <c r="M377" s="20">
        <f>Table9[[#This Row],[Rate
(Please Select from the list)]]/5</f>
        <v>1</v>
      </c>
      <c r="N377" s="73">
        <v>2.61</v>
      </c>
      <c r="O377" s="74">
        <f>Table9[[#This Row],[Score %]]*Table9[[#This Row],[Item Weight
(Please Select from the list)]]</f>
        <v>2.61</v>
      </c>
      <c r="P377" s="80">
        <v>3</v>
      </c>
      <c r="Q377" t="s">
        <v>15</v>
      </c>
      <c r="R377"/>
      <c r="S377" t="s">
        <v>57</v>
      </c>
      <c r="T377"/>
      <c r="U377" t="s">
        <v>44</v>
      </c>
      <c r="V377" t="s">
        <v>3851</v>
      </c>
      <c r="W377" s="88" t="s">
        <v>4034</v>
      </c>
    </row>
    <row r="378" spans="1:23" ht="14.4">
      <c r="A378" s="7" t="s">
        <v>61</v>
      </c>
      <c r="B378" t="s">
        <v>20</v>
      </c>
      <c r="C378" t="s">
        <v>21</v>
      </c>
      <c r="D378" s="7" t="s">
        <v>559</v>
      </c>
      <c r="E378" s="7" t="s">
        <v>560</v>
      </c>
      <c r="F378" s="7" t="s">
        <v>561</v>
      </c>
      <c r="G378" s="7" t="s">
        <v>2584</v>
      </c>
      <c r="H378" s="85" t="s">
        <v>3300</v>
      </c>
      <c r="I378" s="85" t="s">
        <v>2725</v>
      </c>
      <c r="J378" s="85"/>
      <c r="K378" s="85" t="s">
        <v>47</v>
      </c>
      <c r="L378" s="85">
        <v>4</v>
      </c>
      <c r="M378" s="20">
        <f>Table9[[#This Row],[Rate
(Please Select from the list)]]/5</f>
        <v>0.8</v>
      </c>
      <c r="N378" s="73">
        <v>2.61</v>
      </c>
      <c r="O378" s="74">
        <f>Table9[[#This Row],[Score %]]*Table9[[#This Row],[Item Weight
(Please Select from the list)]]</f>
        <v>2.0880000000000001</v>
      </c>
      <c r="P378" s="80">
        <v>3</v>
      </c>
      <c r="Q378" t="s">
        <v>46</v>
      </c>
      <c r="R378"/>
      <c r="S378" t="s">
        <v>57</v>
      </c>
      <c r="T378"/>
      <c r="U378" t="s">
        <v>44</v>
      </c>
      <c r="V378" t="s">
        <v>3812</v>
      </c>
      <c r="W378" s="88" t="s">
        <v>4034</v>
      </c>
    </row>
    <row r="379" spans="1:23" ht="14.4">
      <c r="A379" s="7" t="s">
        <v>61</v>
      </c>
      <c r="B379" t="s">
        <v>20</v>
      </c>
      <c r="C379" t="s">
        <v>21</v>
      </c>
      <c r="D379" s="7" t="s">
        <v>562</v>
      </c>
      <c r="E379" s="7" t="s">
        <v>563</v>
      </c>
      <c r="F379" s="7" t="s">
        <v>564</v>
      </c>
      <c r="G379" s="7" t="s">
        <v>2584</v>
      </c>
      <c r="H379" s="85" t="s">
        <v>3301</v>
      </c>
      <c r="I379" s="85" t="s">
        <v>2736</v>
      </c>
      <c r="J379" s="85"/>
      <c r="K379" s="85" t="s">
        <v>47</v>
      </c>
      <c r="L379" s="85">
        <v>4</v>
      </c>
      <c r="M379" s="20">
        <f>Table9[[#This Row],[Rate
(Please Select from the list)]]/5</f>
        <v>0.8</v>
      </c>
      <c r="N379" s="73">
        <v>2.61</v>
      </c>
      <c r="O379" s="74">
        <f>Table9[[#This Row],[Score %]]*Table9[[#This Row],[Item Weight
(Please Select from the list)]]</f>
        <v>2.0880000000000001</v>
      </c>
      <c r="P379" s="80">
        <v>3</v>
      </c>
      <c r="Q379" t="s">
        <v>46</v>
      </c>
      <c r="R379"/>
      <c r="S379" t="s">
        <v>57</v>
      </c>
      <c r="T379"/>
      <c r="U379" t="s">
        <v>44</v>
      </c>
      <c r="V379" t="s">
        <v>3812</v>
      </c>
      <c r="W379" s="88" t="s">
        <v>4034</v>
      </c>
    </row>
    <row r="380" spans="1:23" ht="14.4">
      <c r="A380" s="7" t="s">
        <v>73</v>
      </c>
      <c r="B380" t="s">
        <v>22</v>
      </c>
      <c r="C380" t="s">
        <v>2510</v>
      </c>
      <c r="D380" s="7" t="s">
        <v>565</v>
      </c>
      <c r="E380" s="7" t="s">
        <v>566</v>
      </c>
      <c r="F380" s="7" t="s">
        <v>567</v>
      </c>
      <c r="G380" s="7" t="s">
        <v>2584</v>
      </c>
      <c r="H380" s="85" t="s">
        <v>3302</v>
      </c>
      <c r="I380" s="85" t="s">
        <v>2736</v>
      </c>
      <c r="J380" s="85" t="s">
        <v>3303</v>
      </c>
      <c r="K380" s="85" t="s">
        <v>16</v>
      </c>
      <c r="L380" s="85">
        <v>1</v>
      </c>
      <c r="M380" s="20">
        <f>Table9[[#This Row],[Rate
(Please Select from the list)]]/5</f>
        <v>0.2</v>
      </c>
      <c r="N380" s="73">
        <v>2.86</v>
      </c>
      <c r="O380" s="74">
        <f>Table9[[#This Row],[Score %]]*Table9[[#This Row],[Item Weight
(Please Select from the list)]]</f>
        <v>0.57199999999999995</v>
      </c>
      <c r="P380" s="80">
        <v>3</v>
      </c>
      <c r="Q380" t="s">
        <v>59</v>
      </c>
      <c r="R380" t="s">
        <v>3946</v>
      </c>
      <c r="S380" t="s">
        <v>13</v>
      </c>
      <c r="T380" t="s">
        <v>3820</v>
      </c>
      <c r="U380" t="s">
        <v>14</v>
      </c>
      <c r="V380" t="s">
        <v>3947</v>
      </c>
      <c r="W380" s="88" t="s">
        <v>4034</v>
      </c>
    </row>
    <row r="381" spans="1:23" ht="14.4">
      <c r="A381" s="7" t="s">
        <v>73</v>
      </c>
      <c r="B381" t="s">
        <v>22</v>
      </c>
      <c r="C381" t="s">
        <v>2510</v>
      </c>
      <c r="D381" s="7" t="s">
        <v>568</v>
      </c>
      <c r="E381" s="7" t="s">
        <v>569</v>
      </c>
      <c r="F381" s="7" t="s">
        <v>570</v>
      </c>
      <c r="G381" s="7" t="s">
        <v>2584</v>
      </c>
      <c r="H381" s="85" t="s">
        <v>3304</v>
      </c>
      <c r="I381" s="85" t="s">
        <v>2716</v>
      </c>
      <c r="J381" s="85"/>
      <c r="K381" s="85" t="s">
        <v>47</v>
      </c>
      <c r="L381" s="85">
        <v>4</v>
      </c>
      <c r="M381" s="20">
        <f>Table9[[#This Row],[Rate
(Please Select from the list)]]/5</f>
        <v>0.8</v>
      </c>
      <c r="N381" s="73">
        <v>2.86</v>
      </c>
      <c r="O381" s="74">
        <f>Table9[[#This Row],[Score %]]*Table9[[#This Row],[Item Weight
(Please Select from the list)]]</f>
        <v>2.2879999999999998</v>
      </c>
      <c r="P381" s="80">
        <v>3</v>
      </c>
      <c r="Q381" t="s">
        <v>46</v>
      </c>
      <c r="R381"/>
      <c r="S381" t="s">
        <v>43</v>
      </c>
      <c r="T381"/>
      <c r="U381" t="s">
        <v>58</v>
      </c>
      <c r="V381" t="s">
        <v>3812</v>
      </c>
      <c r="W381" s="88" t="s">
        <v>4034</v>
      </c>
    </row>
    <row r="382" spans="1:23" ht="14.4">
      <c r="A382" s="7" t="s">
        <v>73</v>
      </c>
      <c r="B382" t="s">
        <v>22</v>
      </c>
      <c r="C382" t="s">
        <v>2510</v>
      </c>
      <c r="D382" s="7" t="s">
        <v>571</v>
      </c>
      <c r="E382" s="7" t="s">
        <v>572</v>
      </c>
      <c r="F382" s="7" t="s">
        <v>573</v>
      </c>
      <c r="G382" s="7" t="s">
        <v>2584</v>
      </c>
      <c r="H382" s="85" t="s">
        <v>3305</v>
      </c>
      <c r="I382" s="85" t="s">
        <v>2754</v>
      </c>
      <c r="J382" s="85" t="s">
        <v>3306</v>
      </c>
      <c r="K382" s="85" t="s">
        <v>16</v>
      </c>
      <c r="L382" s="85">
        <v>3</v>
      </c>
      <c r="M382" s="20">
        <f>Table9[[#This Row],[Rate
(Please Select from the list)]]/5</f>
        <v>0.6</v>
      </c>
      <c r="N382" s="73">
        <v>2.86</v>
      </c>
      <c r="O382" s="74">
        <f>Table9[[#This Row],[Score %]]*Table9[[#This Row],[Item Weight
(Please Select from the list)]]</f>
        <v>1.716</v>
      </c>
      <c r="P382" s="80">
        <v>3</v>
      </c>
      <c r="Q382" t="s">
        <v>46</v>
      </c>
      <c r="R382"/>
      <c r="S382" t="s">
        <v>43</v>
      </c>
      <c r="T382"/>
      <c r="U382" t="s">
        <v>58</v>
      </c>
      <c r="V382" t="s">
        <v>3825</v>
      </c>
      <c r="W382" s="88" t="s">
        <v>4034</v>
      </c>
    </row>
    <row r="383" spans="1:23" ht="14.4">
      <c r="A383" s="7" t="s">
        <v>73</v>
      </c>
      <c r="B383" t="s">
        <v>22</v>
      </c>
      <c r="C383" t="s">
        <v>2510</v>
      </c>
      <c r="D383" s="7" t="s">
        <v>574</v>
      </c>
      <c r="E383" s="7" t="s">
        <v>575</v>
      </c>
      <c r="F383" s="7" t="s">
        <v>576</v>
      </c>
      <c r="G383" s="7" t="s">
        <v>2584</v>
      </c>
      <c r="H383" s="85" t="s">
        <v>3307</v>
      </c>
      <c r="I383" s="85" t="s">
        <v>2725</v>
      </c>
      <c r="J383" s="85" t="s">
        <v>3308</v>
      </c>
      <c r="K383" s="85" t="s">
        <v>16</v>
      </c>
      <c r="L383" s="85">
        <v>3</v>
      </c>
      <c r="M383" s="20">
        <f>Table9[[#This Row],[Rate
(Please Select from the list)]]/5</f>
        <v>0.6</v>
      </c>
      <c r="N383" s="73">
        <v>2.86</v>
      </c>
      <c r="O383" s="74">
        <f>Table9[[#This Row],[Score %]]*Table9[[#This Row],[Item Weight
(Please Select from the list)]]</f>
        <v>1.716</v>
      </c>
      <c r="P383" s="80">
        <v>3</v>
      </c>
      <c r="Q383" t="s">
        <v>59</v>
      </c>
      <c r="R383" t="s">
        <v>3948</v>
      </c>
      <c r="S383" t="s">
        <v>29</v>
      </c>
      <c r="T383" s="86">
        <v>45421</v>
      </c>
      <c r="U383" t="s">
        <v>30</v>
      </c>
      <c r="V383" t="s">
        <v>3839</v>
      </c>
      <c r="W383" s="88" t="s">
        <v>4034</v>
      </c>
    </row>
    <row r="384" spans="1:23" ht="14.4">
      <c r="A384" s="7" t="s">
        <v>73</v>
      </c>
      <c r="B384" t="s">
        <v>22</v>
      </c>
      <c r="C384" t="s">
        <v>2510</v>
      </c>
      <c r="D384" s="7" t="s">
        <v>577</v>
      </c>
      <c r="E384" s="7" t="s">
        <v>578</v>
      </c>
      <c r="F384" s="7" t="s">
        <v>579</v>
      </c>
      <c r="G384" s="7" t="s">
        <v>2584</v>
      </c>
      <c r="H384" s="85" t="s">
        <v>3309</v>
      </c>
      <c r="I384" s="85" t="s">
        <v>2731</v>
      </c>
      <c r="J384" s="85" t="s">
        <v>3310</v>
      </c>
      <c r="K384" s="85" t="s">
        <v>16</v>
      </c>
      <c r="L384" s="85">
        <v>2</v>
      </c>
      <c r="M384" s="20">
        <f>Table9[[#This Row],[Rate
(Please Select from the list)]]/5</f>
        <v>0.4</v>
      </c>
      <c r="N384" s="73">
        <v>2.86</v>
      </c>
      <c r="O384" s="74">
        <f>Table9[[#This Row],[Score %]]*Table9[[#This Row],[Item Weight
(Please Select from the list)]]</f>
        <v>1.1439999999999999</v>
      </c>
      <c r="P384" s="80">
        <v>3</v>
      </c>
      <c r="Q384" t="s">
        <v>59</v>
      </c>
      <c r="R384" t="s">
        <v>3949</v>
      </c>
      <c r="S384" t="s">
        <v>13</v>
      </c>
      <c r="T384" t="s">
        <v>3820</v>
      </c>
      <c r="U384" t="s">
        <v>30</v>
      </c>
      <c r="V384" t="s">
        <v>3847</v>
      </c>
      <c r="W384" s="88" t="s">
        <v>4034</v>
      </c>
    </row>
    <row r="385" spans="1:23" ht="14.4">
      <c r="A385" s="7" t="s">
        <v>73</v>
      </c>
      <c r="B385" t="s">
        <v>22</v>
      </c>
      <c r="C385" t="s">
        <v>2510</v>
      </c>
      <c r="D385" s="7" t="s">
        <v>580</v>
      </c>
      <c r="E385" s="7" t="s">
        <v>581</v>
      </c>
      <c r="F385" s="7" t="s">
        <v>582</v>
      </c>
      <c r="G385" s="7" t="s">
        <v>2584</v>
      </c>
      <c r="H385" s="85" t="s">
        <v>3311</v>
      </c>
      <c r="I385" s="85" t="s">
        <v>2725</v>
      </c>
      <c r="J385" s="85" t="s">
        <v>3312</v>
      </c>
      <c r="K385" s="85" t="s">
        <v>16</v>
      </c>
      <c r="L385" s="85">
        <v>3</v>
      </c>
      <c r="M385" s="20">
        <f>Table9[[#This Row],[Rate
(Please Select from the list)]]/5</f>
        <v>0.6</v>
      </c>
      <c r="N385" s="73">
        <v>2.86</v>
      </c>
      <c r="O385" s="74">
        <f>Table9[[#This Row],[Score %]]*Table9[[#This Row],[Item Weight
(Please Select from the list)]]</f>
        <v>1.716</v>
      </c>
      <c r="P385" s="80">
        <v>3</v>
      </c>
      <c r="Q385" t="s">
        <v>46</v>
      </c>
      <c r="R385"/>
      <c r="S385" t="s">
        <v>43</v>
      </c>
      <c r="T385"/>
      <c r="U385" t="s">
        <v>58</v>
      </c>
      <c r="V385" t="s">
        <v>3815</v>
      </c>
      <c r="W385" s="88" t="s">
        <v>4034</v>
      </c>
    </row>
    <row r="386" spans="1:23" ht="14.4">
      <c r="A386" s="7" t="s">
        <v>73</v>
      </c>
      <c r="B386" t="s">
        <v>22</v>
      </c>
      <c r="C386" t="s">
        <v>2510</v>
      </c>
      <c r="D386" s="7" t="s">
        <v>583</v>
      </c>
      <c r="E386" s="7" t="s">
        <v>584</v>
      </c>
      <c r="F386" s="7" t="s">
        <v>585</v>
      </c>
      <c r="G386" s="7" t="s">
        <v>2584</v>
      </c>
      <c r="H386" s="85" t="s">
        <v>3313</v>
      </c>
      <c r="I386" s="85" t="s">
        <v>2716</v>
      </c>
      <c r="J386" s="85" t="s">
        <v>3314</v>
      </c>
      <c r="K386" s="85" t="s">
        <v>16</v>
      </c>
      <c r="L386" s="85">
        <v>3</v>
      </c>
      <c r="M386" s="20">
        <f>Table9[[#This Row],[Rate
(Please Select from the list)]]/5</f>
        <v>0.6</v>
      </c>
      <c r="N386" s="73">
        <v>2.86</v>
      </c>
      <c r="O386" s="74">
        <f>Table9[[#This Row],[Score %]]*Table9[[#This Row],[Item Weight
(Please Select from the list)]]</f>
        <v>1.716</v>
      </c>
      <c r="P386" s="80">
        <v>3</v>
      </c>
      <c r="Q386" t="s">
        <v>59</v>
      </c>
      <c r="R386"/>
      <c r="S386" t="s">
        <v>43</v>
      </c>
      <c r="T386"/>
      <c r="U386" t="s">
        <v>44</v>
      </c>
      <c r="V386" t="s">
        <v>3813</v>
      </c>
      <c r="W386" s="88" t="s">
        <v>4034</v>
      </c>
    </row>
    <row r="387" spans="1:23" ht="14.4">
      <c r="A387" s="7" t="s">
        <v>73</v>
      </c>
      <c r="B387" t="s">
        <v>22</v>
      </c>
      <c r="C387" t="s">
        <v>2510</v>
      </c>
      <c r="D387" s="7" t="s">
        <v>586</v>
      </c>
      <c r="E387" s="7" t="s">
        <v>587</v>
      </c>
      <c r="F387" s="7" t="s">
        <v>588</v>
      </c>
      <c r="G387" s="7" t="s">
        <v>2584</v>
      </c>
      <c r="H387" s="85" t="s">
        <v>3315</v>
      </c>
      <c r="I387" s="85" t="s">
        <v>2716</v>
      </c>
      <c r="J387" s="85"/>
      <c r="K387" s="85" t="s">
        <v>47</v>
      </c>
      <c r="L387" s="85">
        <v>4</v>
      </c>
      <c r="M387" s="20">
        <f>Table9[[#This Row],[Rate
(Please Select from the list)]]/5</f>
        <v>0.8</v>
      </c>
      <c r="N387" s="73">
        <v>2.86</v>
      </c>
      <c r="O387" s="74">
        <f>Table9[[#This Row],[Score %]]*Table9[[#This Row],[Item Weight
(Please Select from the list)]]</f>
        <v>2.2879999999999998</v>
      </c>
      <c r="P387" s="80">
        <v>3</v>
      </c>
      <c r="Q387" t="s">
        <v>46</v>
      </c>
      <c r="R387" t="s">
        <v>3950</v>
      </c>
      <c r="S387" t="s">
        <v>43</v>
      </c>
      <c r="T387" t="s">
        <v>3844</v>
      </c>
      <c r="U387" t="s">
        <v>30</v>
      </c>
      <c r="V387" t="s">
        <v>3812</v>
      </c>
      <c r="W387" s="88" t="s">
        <v>4034</v>
      </c>
    </row>
    <row r="388" spans="1:23" ht="14.4">
      <c r="A388" s="7" t="s">
        <v>73</v>
      </c>
      <c r="B388" t="s">
        <v>22</v>
      </c>
      <c r="C388" t="s">
        <v>2510</v>
      </c>
      <c r="D388" s="7" t="s">
        <v>589</v>
      </c>
      <c r="E388" s="7" t="s">
        <v>590</v>
      </c>
      <c r="F388" s="7" t="s">
        <v>591</v>
      </c>
      <c r="G388" s="7" t="s">
        <v>2584</v>
      </c>
      <c r="H388" s="85" t="s">
        <v>3316</v>
      </c>
      <c r="I388" s="85" t="s">
        <v>2739</v>
      </c>
      <c r="J388" s="85" t="s">
        <v>3317</v>
      </c>
      <c r="K388" s="85" t="s">
        <v>16</v>
      </c>
      <c r="L388" s="85">
        <v>3</v>
      </c>
      <c r="M388" s="20">
        <f>Table9[[#This Row],[Rate
(Please Select from the list)]]/5</f>
        <v>0.6</v>
      </c>
      <c r="N388" s="73">
        <v>2.86</v>
      </c>
      <c r="O388" s="74">
        <f>Table9[[#This Row],[Score %]]*Table9[[#This Row],[Item Weight
(Please Select from the list)]]</f>
        <v>1.716</v>
      </c>
      <c r="P388" s="80">
        <v>3</v>
      </c>
      <c r="Q388" t="s">
        <v>3852</v>
      </c>
      <c r="R388"/>
      <c r="S388" t="s">
        <v>43</v>
      </c>
      <c r="T388"/>
      <c r="U388" t="s">
        <v>44</v>
      </c>
      <c r="V388" t="s">
        <v>3825</v>
      </c>
      <c r="W388" s="88" t="s">
        <v>4034</v>
      </c>
    </row>
    <row r="389" spans="1:23" ht="14.4">
      <c r="A389" s="7" t="s">
        <v>73</v>
      </c>
      <c r="B389" t="s">
        <v>22</v>
      </c>
      <c r="C389" t="s">
        <v>2510</v>
      </c>
      <c r="D389" s="7" t="s">
        <v>592</v>
      </c>
      <c r="E389" s="7" t="s">
        <v>593</v>
      </c>
      <c r="F389" s="7" t="s">
        <v>594</v>
      </c>
      <c r="G389" s="7" t="s">
        <v>2584</v>
      </c>
      <c r="H389" s="85" t="s">
        <v>3318</v>
      </c>
      <c r="I389" s="85" t="s">
        <v>2739</v>
      </c>
      <c r="J389" s="85" t="s">
        <v>3319</v>
      </c>
      <c r="K389" s="85" t="s">
        <v>16</v>
      </c>
      <c r="L389" s="85">
        <v>0</v>
      </c>
      <c r="M389" s="20">
        <f>Table9[[#This Row],[Rate
(Please Select from the list)]]/5</f>
        <v>0</v>
      </c>
      <c r="N389" s="73">
        <v>2.86</v>
      </c>
      <c r="O389" s="74">
        <f>Table9[[#This Row],[Score %]]*Table9[[#This Row],[Item Weight
(Please Select from the list)]]</f>
        <v>0</v>
      </c>
      <c r="P389" s="80">
        <v>3</v>
      </c>
      <c r="Q389" t="s">
        <v>31</v>
      </c>
      <c r="R389"/>
      <c r="S389" t="s">
        <v>3828</v>
      </c>
      <c r="T389"/>
      <c r="U389" t="s">
        <v>45</v>
      </c>
      <c r="V389" t="s">
        <v>3829</v>
      </c>
      <c r="W389" s="88" t="s">
        <v>4034</v>
      </c>
    </row>
    <row r="390" spans="1:23" ht="14.4">
      <c r="A390" s="7" t="s">
        <v>73</v>
      </c>
      <c r="B390" t="s">
        <v>22</v>
      </c>
      <c r="C390" t="s">
        <v>2510</v>
      </c>
      <c r="D390" s="7" t="s">
        <v>595</v>
      </c>
      <c r="E390" s="7" t="s">
        <v>596</v>
      </c>
      <c r="F390" s="7" t="s">
        <v>597</v>
      </c>
      <c r="G390" s="7" t="s">
        <v>2584</v>
      </c>
      <c r="H390" s="85" t="s">
        <v>3320</v>
      </c>
      <c r="I390" s="85" t="s">
        <v>2716</v>
      </c>
      <c r="J390" s="85" t="s">
        <v>3321</v>
      </c>
      <c r="K390" s="85" t="s">
        <v>16</v>
      </c>
      <c r="L390" s="85">
        <v>3</v>
      </c>
      <c r="M390" s="20">
        <f>Table9[[#This Row],[Rate
(Please Select from the list)]]/5</f>
        <v>0.6</v>
      </c>
      <c r="N390" s="73">
        <v>2.86</v>
      </c>
      <c r="O390" s="74">
        <f>Table9[[#This Row],[Score %]]*Table9[[#This Row],[Item Weight
(Please Select from the list)]]</f>
        <v>1.716</v>
      </c>
      <c r="P390" s="80">
        <v>3</v>
      </c>
      <c r="Q390" t="s">
        <v>46</v>
      </c>
      <c r="R390"/>
      <c r="S390" t="s">
        <v>43</v>
      </c>
      <c r="T390"/>
      <c r="U390" t="s">
        <v>58</v>
      </c>
      <c r="V390" t="s">
        <v>3825</v>
      </c>
      <c r="W390" s="88" t="s">
        <v>4034</v>
      </c>
    </row>
    <row r="391" spans="1:23" ht="14.4">
      <c r="A391" s="7" t="s">
        <v>73</v>
      </c>
      <c r="B391" t="s">
        <v>22</v>
      </c>
      <c r="C391" t="s">
        <v>2510</v>
      </c>
      <c r="D391" s="7" t="s">
        <v>598</v>
      </c>
      <c r="E391" s="7" t="s">
        <v>599</v>
      </c>
      <c r="F391" s="7" t="s">
        <v>600</v>
      </c>
      <c r="G391" s="7" t="s">
        <v>2584</v>
      </c>
      <c r="H391" s="85" t="s">
        <v>3322</v>
      </c>
      <c r="I391" s="85" t="s">
        <v>2731</v>
      </c>
      <c r="J391" s="85"/>
      <c r="K391" s="85" t="s">
        <v>855</v>
      </c>
      <c r="L391" s="85">
        <v>4</v>
      </c>
      <c r="M391" s="20">
        <f>Table9[[#This Row],[Rate
(Please Select from the list)]]/5</f>
        <v>0.8</v>
      </c>
      <c r="N391" s="73">
        <v>2.86</v>
      </c>
      <c r="O391" s="74">
        <f>Table9[[#This Row],[Score %]]*Table9[[#This Row],[Item Weight
(Please Select from the list)]]</f>
        <v>2.2879999999999998</v>
      </c>
      <c r="P391" s="80">
        <v>3</v>
      </c>
      <c r="Q391" t="s">
        <v>59</v>
      </c>
      <c r="R391"/>
      <c r="S391" t="s">
        <v>57</v>
      </c>
      <c r="T391"/>
      <c r="U391" t="s">
        <v>44</v>
      </c>
      <c r="V391" t="s">
        <v>3812</v>
      </c>
      <c r="W391" s="88" t="s">
        <v>4034</v>
      </c>
    </row>
    <row r="392" spans="1:23" ht="14.4">
      <c r="A392" s="7" t="s">
        <v>73</v>
      </c>
      <c r="B392" t="s">
        <v>22</v>
      </c>
      <c r="C392" t="s">
        <v>2510</v>
      </c>
      <c r="D392" s="7" t="s">
        <v>601</v>
      </c>
      <c r="E392" s="7" t="s">
        <v>602</v>
      </c>
      <c r="F392" s="7" t="s">
        <v>603</v>
      </c>
      <c r="G392" s="7" t="s">
        <v>2584</v>
      </c>
      <c r="H392" s="85" t="s">
        <v>3323</v>
      </c>
      <c r="I392" s="85" t="s">
        <v>2754</v>
      </c>
      <c r="J392" s="85"/>
      <c r="K392" s="85" t="s">
        <v>16</v>
      </c>
      <c r="L392" s="85">
        <v>4</v>
      </c>
      <c r="M392" s="20">
        <f>Table9[[#This Row],[Rate
(Please Select from the list)]]/5</f>
        <v>0.8</v>
      </c>
      <c r="N392" s="73">
        <v>2.86</v>
      </c>
      <c r="O392" s="74">
        <f>Table9[[#This Row],[Score %]]*Table9[[#This Row],[Item Weight
(Please Select from the list)]]</f>
        <v>2.2879999999999998</v>
      </c>
      <c r="P392" s="80">
        <v>3</v>
      </c>
      <c r="Q392" t="s">
        <v>15</v>
      </c>
      <c r="R392"/>
      <c r="S392" t="s">
        <v>43</v>
      </c>
      <c r="T392"/>
      <c r="U392" t="s">
        <v>44</v>
      </c>
      <c r="V392" t="s">
        <v>3812</v>
      </c>
      <c r="W392" s="88" t="s">
        <v>4034</v>
      </c>
    </row>
    <row r="393" spans="1:23" ht="14.4">
      <c r="A393" s="7" t="s">
        <v>73</v>
      </c>
      <c r="B393" t="s">
        <v>22</v>
      </c>
      <c r="C393" t="s">
        <v>2510</v>
      </c>
      <c r="D393" s="7" t="s">
        <v>604</v>
      </c>
      <c r="E393" s="7" t="s">
        <v>605</v>
      </c>
      <c r="F393" s="7" t="s">
        <v>606</v>
      </c>
      <c r="G393" s="7" t="s">
        <v>2584</v>
      </c>
      <c r="H393" s="85" t="s">
        <v>3324</v>
      </c>
      <c r="I393" s="85" t="s">
        <v>2718</v>
      </c>
      <c r="J393" s="85" t="s">
        <v>3325</v>
      </c>
      <c r="K393" s="85" t="s">
        <v>16</v>
      </c>
      <c r="L393" s="85">
        <v>3</v>
      </c>
      <c r="M393" s="20">
        <f>Table9[[#This Row],[Rate
(Please Select from the list)]]/5</f>
        <v>0.6</v>
      </c>
      <c r="N393" s="73">
        <v>2.86</v>
      </c>
      <c r="O393" s="74">
        <f>Table9[[#This Row],[Score %]]*Table9[[#This Row],[Item Weight
(Please Select from the list)]]</f>
        <v>1.716</v>
      </c>
      <c r="P393" s="80">
        <v>3</v>
      </c>
      <c r="Q393" t="s">
        <v>15</v>
      </c>
      <c r="R393"/>
      <c r="S393" t="s">
        <v>43</v>
      </c>
      <c r="T393"/>
      <c r="U393" t="s">
        <v>58</v>
      </c>
      <c r="V393" t="s">
        <v>3817</v>
      </c>
      <c r="W393" s="88" t="s">
        <v>4034</v>
      </c>
    </row>
    <row r="394" spans="1:23" ht="14.4">
      <c r="A394" s="7" t="s">
        <v>73</v>
      </c>
      <c r="B394" t="s">
        <v>22</v>
      </c>
      <c r="C394" t="s">
        <v>2510</v>
      </c>
      <c r="D394" s="7" t="s">
        <v>607</v>
      </c>
      <c r="E394" s="7" t="s">
        <v>608</v>
      </c>
      <c r="F394" s="7" t="s">
        <v>609</v>
      </c>
      <c r="G394" s="7" t="s">
        <v>2584</v>
      </c>
      <c r="H394" s="85" t="s">
        <v>3326</v>
      </c>
      <c r="I394" s="85" t="s">
        <v>2725</v>
      </c>
      <c r="J394" s="85"/>
      <c r="K394" s="85" t="s">
        <v>47</v>
      </c>
      <c r="L394" s="85">
        <v>4</v>
      </c>
      <c r="M394" s="20">
        <f>Table9[[#This Row],[Rate
(Please Select from the list)]]/5</f>
        <v>0.8</v>
      </c>
      <c r="N394" s="73">
        <v>2.86</v>
      </c>
      <c r="O394" s="74">
        <f>Table9[[#This Row],[Score %]]*Table9[[#This Row],[Item Weight
(Please Select from the list)]]</f>
        <v>2.2879999999999998</v>
      </c>
      <c r="P394" s="80">
        <v>3</v>
      </c>
      <c r="Q394" t="s">
        <v>15</v>
      </c>
      <c r="R394"/>
      <c r="S394" t="s">
        <v>57</v>
      </c>
      <c r="T394"/>
      <c r="U394" t="s">
        <v>44</v>
      </c>
      <c r="V394" t="s">
        <v>3812</v>
      </c>
      <c r="W394" s="88" t="s">
        <v>4034</v>
      </c>
    </row>
    <row r="395" spans="1:23" ht="14.4">
      <c r="A395" s="7" t="s">
        <v>73</v>
      </c>
      <c r="B395" t="s">
        <v>22</v>
      </c>
      <c r="C395" t="s">
        <v>2510</v>
      </c>
      <c r="D395" s="7" t="s">
        <v>610</v>
      </c>
      <c r="E395" s="7" t="s">
        <v>611</v>
      </c>
      <c r="F395" s="7" t="s">
        <v>612</v>
      </c>
      <c r="G395" s="7" t="s">
        <v>2584</v>
      </c>
      <c r="H395" s="85" t="s">
        <v>3327</v>
      </c>
      <c r="I395" s="85" t="s">
        <v>2725</v>
      </c>
      <c r="J395" s="85" t="s">
        <v>3328</v>
      </c>
      <c r="K395" s="85" t="s">
        <v>16</v>
      </c>
      <c r="L395" s="85">
        <v>3</v>
      </c>
      <c r="M395" s="20">
        <f>Table9[[#This Row],[Rate
(Please Select from the list)]]/5</f>
        <v>0.6</v>
      </c>
      <c r="N395" s="73">
        <v>2.86</v>
      </c>
      <c r="O395" s="74">
        <f>Table9[[#This Row],[Score %]]*Table9[[#This Row],[Item Weight
(Please Select from the list)]]</f>
        <v>1.716</v>
      </c>
      <c r="P395" s="80">
        <v>3</v>
      </c>
      <c r="Q395" t="s">
        <v>46</v>
      </c>
      <c r="R395"/>
      <c r="S395" t="s">
        <v>43</v>
      </c>
      <c r="T395"/>
      <c r="U395" t="s">
        <v>44</v>
      </c>
      <c r="V395" t="s">
        <v>3815</v>
      </c>
      <c r="W395" s="88" t="s">
        <v>4034</v>
      </c>
    </row>
    <row r="396" spans="1:23" ht="14.4">
      <c r="A396" s="7" t="s">
        <v>73</v>
      </c>
      <c r="B396" t="s">
        <v>22</v>
      </c>
      <c r="C396" t="s">
        <v>2510</v>
      </c>
      <c r="D396" s="7" t="s">
        <v>613</v>
      </c>
      <c r="E396" s="7" t="s">
        <v>614</v>
      </c>
      <c r="F396" s="7" t="s">
        <v>615</v>
      </c>
      <c r="G396" s="7" t="s">
        <v>2584</v>
      </c>
      <c r="H396" s="85" t="s">
        <v>3329</v>
      </c>
      <c r="I396" s="85" t="s">
        <v>2731</v>
      </c>
      <c r="J396" s="85"/>
      <c r="K396" s="85" t="s">
        <v>47</v>
      </c>
      <c r="L396" s="85">
        <v>4</v>
      </c>
      <c r="M396" s="20">
        <f>Table9[[#This Row],[Rate
(Please Select from the list)]]/5</f>
        <v>0.8</v>
      </c>
      <c r="N396" s="73">
        <v>2.86</v>
      </c>
      <c r="O396" s="74">
        <f>Table9[[#This Row],[Score %]]*Table9[[#This Row],[Item Weight
(Please Select from the list)]]</f>
        <v>2.2879999999999998</v>
      </c>
      <c r="P396" s="80">
        <v>3</v>
      </c>
      <c r="Q396" t="s">
        <v>59</v>
      </c>
      <c r="R396"/>
      <c r="S396" t="s">
        <v>57</v>
      </c>
      <c r="T396"/>
      <c r="U396" t="s">
        <v>58</v>
      </c>
      <c r="V396" t="s">
        <v>3812</v>
      </c>
      <c r="W396" s="88" t="s">
        <v>4034</v>
      </c>
    </row>
    <row r="397" spans="1:23" ht="14.4">
      <c r="A397" s="7" t="s">
        <v>73</v>
      </c>
      <c r="B397" t="s">
        <v>22</v>
      </c>
      <c r="C397" t="s">
        <v>2510</v>
      </c>
      <c r="D397" s="7" t="s">
        <v>616</v>
      </c>
      <c r="E397" s="7" t="s">
        <v>617</v>
      </c>
      <c r="F397" s="7" t="s">
        <v>618</v>
      </c>
      <c r="G397" s="7" t="s">
        <v>2584</v>
      </c>
      <c r="H397" s="85" t="s">
        <v>3330</v>
      </c>
      <c r="I397" s="85" t="s">
        <v>2736</v>
      </c>
      <c r="J397" s="85" t="s">
        <v>3331</v>
      </c>
      <c r="K397" s="85" t="s">
        <v>16</v>
      </c>
      <c r="L397" s="85">
        <v>3</v>
      </c>
      <c r="M397" s="20">
        <f>Table9[[#This Row],[Rate
(Please Select from the list)]]/5</f>
        <v>0.6</v>
      </c>
      <c r="N397" s="73">
        <v>2.86</v>
      </c>
      <c r="O397" s="74">
        <f>Table9[[#This Row],[Score %]]*Table9[[#This Row],[Item Weight
(Please Select from the list)]]</f>
        <v>1.716</v>
      </c>
      <c r="P397" s="80">
        <v>3</v>
      </c>
      <c r="Q397" t="s">
        <v>15</v>
      </c>
      <c r="R397"/>
      <c r="S397" t="s">
        <v>29</v>
      </c>
      <c r="T397"/>
      <c r="U397" t="s">
        <v>44</v>
      </c>
      <c r="V397" t="s">
        <v>3815</v>
      </c>
      <c r="W397" s="88" t="s">
        <v>4034</v>
      </c>
    </row>
    <row r="398" spans="1:23" ht="14.4">
      <c r="A398" s="7" t="s">
        <v>73</v>
      </c>
      <c r="B398" t="s">
        <v>22</v>
      </c>
      <c r="C398" t="s">
        <v>2510</v>
      </c>
      <c r="D398" s="7" t="s">
        <v>619</v>
      </c>
      <c r="E398" s="7" t="s">
        <v>620</v>
      </c>
      <c r="F398" s="7" t="s">
        <v>621</v>
      </c>
      <c r="G398" s="7" t="s">
        <v>2584</v>
      </c>
      <c r="H398" s="85" t="s">
        <v>3332</v>
      </c>
      <c r="I398" s="85" t="s">
        <v>2736</v>
      </c>
      <c r="J398" s="85" t="s">
        <v>3333</v>
      </c>
      <c r="K398" s="85" t="s">
        <v>16</v>
      </c>
      <c r="L398" s="85">
        <v>3</v>
      </c>
      <c r="M398" s="20">
        <f>Table9[[#This Row],[Rate
(Please Select from the list)]]/5</f>
        <v>0.6</v>
      </c>
      <c r="N398" s="73">
        <v>2.86</v>
      </c>
      <c r="O398" s="74">
        <f>Table9[[#This Row],[Score %]]*Table9[[#This Row],[Item Weight
(Please Select from the list)]]</f>
        <v>1.716</v>
      </c>
      <c r="P398" s="80">
        <v>3</v>
      </c>
      <c r="Q398" t="s">
        <v>46</v>
      </c>
      <c r="R398" t="s">
        <v>3951</v>
      </c>
      <c r="S398" t="s">
        <v>29</v>
      </c>
      <c r="T398" s="86">
        <v>45421</v>
      </c>
      <c r="U398" t="s">
        <v>30</v>
      </c>
      <c r="V398" t="s">
        <v>3825</v>
      </c>
      <c r="W398" s="88" t="s">
        <v>4034</v>
      </c>
    </row>
    <row r="399" spans="1:23" ht="14.4">
      <c r="A399" s="7" t="s">
        <v>73</v>
      </c>
      <c r="B399" t="s">
        <v>22</v>
      </c>
      <c r="C399" t="s">
        <v>2510</v>
      </c>
      <c r="D399" s="7" t="s">
        <v>622</v>
      </c>
      <c r="E399" s="7" t="s">
        <v>623</v>
      </c>
      <c r="F399" s="7" t="s">
        <v>624</v>
      </c>
      <c r="G399" s="7" t="s">
        <v>2584</v>
      </c>
      <c r="H399" s="85" t="s">
        <v>3334</v>
      </c>
      <c r="I399" s="85" t="s">
        <v>2731</v>
      </c>
      <c r="J399" s="85"/>
      <c r="K399" s="85" t="s">
        <v>855</v>
      </c>
      <c r="L399" s="85">
        <v>4</v>
      </c>
      <c r="M399" s="20">
        <f>Table9[[#This Row],[Rate
(Please Select from the list)]]/5</f>
        <v>0.8</v>
      </c>
      <c r="N399" s="73">
        <v>2.86</v>
      </c>
      <c r="O399" s="74">
        <f>Table9[[#This Row],[Score %]]*Table9[[#This Row],[Item Weight
(Please Select from the list)]]</f>
        <v>2.2879999999999998</v>
      </c>
      <c r="P399" s="80">
        <v>3</v>
      </c>
      <c r="Q399" t="s">
        <v>15</v>
      </c>
      <c r="R399"/>
      <c r="S399" t="s">
        <v>57</v>
      </c>
      <c r="T399"/>
      <c r="U399" t="s">
        <v>58</v>
      </c>
      <c r="V399" t="s">
        <v>3812</v>
      </c>
      <c r="W399" s="88" t="s">
        <v>4034</v>
      </c>
    </row>
    <row r="400" spans="1:23" ht="14.4">
      <c r="A400" s="7" t="s">
        <v>73</v>
      </c>
      <c r="B400" t="s">
        <v>22</v>
      </c>
      <c r="C400" t="s">
        <v>2510</v>
      </c>
      <c r="D400" s="7" t="s">
        <v>625</v>
      </c>
      <c r="E400" s="7" t="s">
        <v>626</v>
      </c>
      <c r="F400" s="7" t="s">
        <v>627</v>
      </c>
      <c r="G400" s="7" t="s">
        <v>2584</v>
      </c>
      <c r="H400" s="85" t="s">
        <v>3335</v>
      </c>
      <c r="I400" s="85" t="s">
        <v>2716</v>
      </c>
      <c r="J400" s="85"/>
      <c r="K400" s="85" t="s">
        <v>47</v>
      </c>
      <c r="L400" s="85">
        <v>4</v>
      </c>
      <c r="M400" s="20">
        <f>Table9[[#This Row],[Rate
(Please Select from the list)]]/5</f>
        <v>0.8</v>
      </c>
      <c r="N400" s="73">
        <v>2.86</v>
      </c>
      <c r="O400" s="74">
        <f>Table9[[#This Row],[Score %]]*Table9[[#This Row],[Item Weight
(Please Select from the list)]]</f>
        <v>2.2879999999999998</v>
      </c>
      <c r="P400" s="80">
        <v>3</v>
      </c>
      <c r="Q400" t="s">
        <v>46</v>
      </c>
      <c r="R400"/>
      <c r="S400" t="s">
        <v>43</v>
      </c>
      <c r="T400"/>
      <c r="U400" t="s">
        <v>44</v>
      </c>
      <c r="V400" t="s">
        <v>3812</v>
      </c>
      <c r="W400" s="88" t="s">
        <v>4034</v>
      </c>
    </row>
    <row r="401" spans="1:23" ht="14.4">
      <c r="A401" s="7" t="s">
        <v>73</v>
      </c>
      <c r="B401" t="s">
        <v>22</v>
      </c>
      <c r="C401" t="s">
        <v>2510</v>
      </c>
      <c r="D401" s="7" t="s">
        <v>628</v>
      </c>
      <c r="E401" s="7" t="s">
        <v>629</v>
      </c>
      <c r="F401" s="7" t="s">
        <v>630</v>
      </c>
      <c r="G401" s="7" t="s">
        <v>2584</v>
      </c>
      <c r="H401" s="85" t="s">
        <v>3336</v>
      </c>
      <c r="I401" s="85" t="s">
        <v>2725</v>
      </c>
      <c r="J401" s="85"/>
      <c r="K401" s="85" t="s">
        <v>855</v>
      </c>
      <c r="L401" s="85">
        <v>4</v>
      </c>
      <c r="M401" s="20">
        <f>Table9[[#This Row],[Rate
(Please Select from the list)]]/5</f>
        <v>0.8</v>
      </c>
      <c r="N401" s="73">
        <v>2.86</v>
      </c>
      <c r="O401" s="74">
        <f>Table9[[#This Row],[Score %]]*Table9[[#This Row],[Item Weight
(Please Select from the list)]]</f>
        <v>2.2879999999999998</v>
      </c>
      <c r="P401" s="80">
        <v>3</v>
      </c>
      <c r="Q401" t="s">
        <v>46</v>
      </c>
      <c r="R401"/>
      <c r="S401" t="s">
        <v>43</v>
      </c>
      <c r="T401"/>
      <c r="U401" t="s">
        <v>58</v>
      </c>
      <c r="V401" t="s">
        <v>3812</v>
      </c>
      <c r="W401" s="88" t="s">
        <v>4034</v>
      </c>
    </row>
    <row r="402" spans="1:23" ht="14.4">
      <c r="A402" s="7" t="s">
        <v>73</v>
      </c>
      <c r="B402" t="s">
        <v>22</v>
      </c>
      <c r="C402" t="s">
        <v>2510</v>
      </c>
      <c r="D402" s="7" t="s">
        <v>631</v>
      </c>
      <c r="E402" s="7" t="s">
        <v>632</v>
      </c>
      <c r="F402" s="7" t="s">
        <v>633</v>
      </c>
      <c r="G402" s="7" t="s">
        <v>2584</v>
      </c>
      <c r="H402" s="85" t="s">
        <v>3337</v>
      </c>
      <c r="I402" s="85" t="s">
        <v>2725</v>
      </c>
      <c r="J402" s="85" t="s">
        <v>3338</v>
      </c>
      <c r="K402" s="85" t="s">
        <v>16</v>
      </c>
      <c r="L402" s="85">
        <v>2</v>
      </c>
      <c r="M402" s="20">
        <f>Table9[[#This Row],[Rate
(Please Select from the list)]]/5</f>
        <v>0.4</v>
      </c>
      <c r="N402" s="73">
        <v>2.86</v>
      </c>
      <c r="O402" s="74">
        <f>Table9[[#This Row],[Score %]]*Table9[[#This Row],[Item Weight
(Please Select from the list)]]</f>
        <v>1.1439999999999999</v>
      </c>
      <c r="P402" s="80">
        <v>3</v>
      </c>
      <c r="Q402" t="s">
        <v>46</v>
      </c>
      <c r="R402" t="s">
        <v>3952</v>
      </c>
      <c r="S402" t="s">
        <v>29</v>
      </c>
      <c r="T402" s="86">
        <v>45421</v>
      </c>
      <c r="U402" t="s">
        <v>30</v>
      </c>
      <c r="V402" t="s">
        <v>3834</v>
      </c>
      <c r="W402" s="88" t="s">
        <v>4034</v>
      </c>
    </row>
    <row r="403" spans="1:23" ht="14.4">
      <c r="A403" s="7" t="s">
        <v>73</v>
      </c>
      <c r="B403" t="s">
        <v>22</v>
      </c>
      <c r="C403" t="s">
        <v>2510</v>
      </c>
      <c r="D403" s="7" t="s">
        <v>634</v>
      </c>
      <c r="E403" s="7" t="s">
        <v>635</v>
      </c>
      <c r="F403" s="7" t="s">
        <v>636</v>
      </c>
      <c r="G403" s="7" t="s">
        <v>2584</v>
      </c>
      <c r="H403" s="85" t="s">
        <v>3339</v>
      </c>
      <c r="I403" s="85" t="s">
        <v>2736</v>
      </c>
      <c r="J403" s="85"/>
      <c r="K403" s="85" t="s">
        <v>16</v>
      </c>
      <c r="L403" s="85">
        <v>4</v>
      </c>
      <c r="M403" s="20">
        <f>Table9[[#This Row],[Rate
(Please Select from the list)]]/5</f>
        <v>0.8</v>
      </c>
      <c r="N403" s="73">
        <v>2.86</v>
      </c>
      <c r="O403" s="74">
        <f>Table9[[#This Row],[Score %]]*Table9[[#This Row],[Item Weight
(Please Select from the list)]]</f>
        <v>2.2879999999999998</v>
      </c>
      <c r="P403" s="80">
        <v>3</v>
      </c>
      <c r="Q403" t="s">
        <v>46</v>
      </c>
      <c r="R403"/>
      <c r="S403" t="s">
        <v>57</v>
      </c>
      <c r="T403"/>
      <c r="U403" t="s">
        <v>44</v>
      </c>
      <c r="V403" t="s">
        <v>3812</v>
      </c>
      <c r="W403" s="88" t="s">
        <v>4034</v>
      </c>
    </row>
    <row r="404" spans="1:23" ht="14.4">
      <c r="A404" s="7" t="s">
        <v>73</v>
      </c>
      <c r="B404" t="s">
        <v>22</v>
      </c>
      <c r="C404" t="s">
        <v>2510</v>
      </c>
      <c r="D404" s="7" t="s">
        <v>637</v>
      </c>
      <c r="E404" s="7" t="s">
        <v>638</v>
      </c>
      <c r="F404" s="7" t="s">
        <v>639</v>
      </c>
      <c r="G404" s="7" t="s">
        <v>2584</v>
      </c>
      <c r="H404" s="85" t="s">
        <v>3340</v>
      </c>
      <c r="I404" s="85" t="s">
        <v>2739</v>
      </c>
      <c r="J404" s="85"/>
      <c r="K404" s="85" t="s">
        <v>855</v>
      </c>
      <c r="L404" s="85">
        <v>4</v>
      </c>
      <c r="M404" s="20">
        <f>Table9[[#This Row],[Rate
(Please Select from the list)]]/5</f>
        <v>0.8</v>
      </c>
      <c r="N404" s="73">
        <v>2.86</v>
      </c>
      <c r="O404" s="74">
        <f>Table9[[#This Row],[Score %]]*Table9[[#This Row],[Item Weight
(Please Select from the list)]]</f>
        <v>2.2879999999999998</v>
      </c>
      <c r="P404" s="80">
        <v>3</v>
      </c>
      <c r="Q404" t="s">
        <v>15</v>
      </c>
      <c r="R404"/>
      <c r="S404" t="s">
        <v>57</v>
      </c>
      <c r="T404"/>
      <c r="U404" t="s">
        <v>44</v>
      </c>
      <c r="V404" t="s">
        <v>3812</v>
      </c>
      <c r="W404" s="88" t="s">
        <v>4034</v>
      </c>
    </row>
    <row r="405" spans="1:23" ht="14.4">
      <c r="A405" s="7" t="s">
        <v>73</v>
      </c>
      <c r="B405" t="s">
        <v>22</v>
      </c>
      <c r="C405" t="s">
        <v>2510</v>
      </c>
      <c r="D405" s="7" t="s">
        <v>640</v>
      </c>
      <c r="E405" s="7" t="s">
        <v>641</v>
      </c>
      <c r="F405" s="7" t="s">
        <v>642</v>
      </c>
      <c r="G405" s="7" t="s">
        <v>2584</v>
      </c>
      <c r="H405" s="85" t="s">
        <v>3341</v>
      </c>
      <c r="I405" s="85" t="s">
        <v>2739</v>
      </c>
      <c r="J405" s="85"/>
      <c r="K405" s="85" t="s">
        <v>855</v>
      </c>
      <c r="L405" s="85">
        <v>4</v>
      </c>
      <c r="M405" s="20">
        <f>Table9[[#This Row],[Rate
(Please Select from the list)]]/5</f>
        <v>0.8</v>
      </c>
      <c r="N405" s="73">
        <v>2.86</v>
      </c>
      <c r="O405" s="74">
        <f>Table9[[#This Row],[Score %]]*Table9[[#This Row],[Item Weight
(Please Select from the list)]]</f>
        <v>2.2879999999999998</v>
      </c>
      <c r="P405" s="80">
        <v>3</v>
      </c>
      <c r="Q405" t="s">
        <v>15</v>
      </c>
      <c r="R405"/>
      <c r="S405" t="s">
        <v>43</v>
      </c>
      <c r="T405"/>
      <c r="U405" t="s">
        <v>58</v>
      </c>
      <c r="V405" t="s">
        <v>3812</v>
      </c>
      <c r="W405" s="88" t="s">
        <v>4034</v>
      </c>
    </row>
    <row r="406" spans="1:23" ht="14.4">
      <c r="A406" s="7" t="s">
        <v>73</v>
      </c>
      <c r="B406" t="s">
        <v>22</v>
      </c>
      <c r="C406" t="s">
        <v>2510</v>
      </c>
      <c r="D406" s="7" t="s">
        <v>643</v>
      </c>
      <c r="E406" s="7" t="s">
        <v>644</v>
      </c>
      <c r="F406" s="7" t="s">
        <v>645</v>
      </c>
      <c r="G406" s="7" t="s">
        <v>2584</v>
      </c>
      <c r="H406" s="85" t="s">
        <v>3342</v>
      </c>
      <c r="I406" s="85" t="s">
        <v>2739</v>
      </c>
      <c r="J406" s="85"/>
      <c r="K406" s="85" t="s">
        <v>47</v>
      </c>
      <c r="L406" s="85">
        <v>4</v>
      </c>
      <c r="M406" s="20">
        <f>Table9[[#This Row],[Rate
(Please Select from the list)]]/5</f>
        <v>0.8</v>
      </c>
      <c r="N406" s="73">
        <v>2.86</v>
      </c>
      <c r="O406" s="74">
        <f>Table9[[#This Row],[Score %]]*Table9[[#This Row],[Item Weight
(Please Select from the list)]]</f>
        <v>2.2879999999999998</v>
      </c>
      <c r="P406" s="80">
        <v>3</v>
      </c>
      <c r="Q406" t="s">
        <v>46</v>
      </c>
      <c r="R406"/>
      <c r="S406" t="s">
        <v>57</v>
      </c>
      <c r="T406"/>
      <c r="U406" t="s">
        <v>44</v>
      </c>
      <c r="V406" t="s">
        <v>3812</v>
      </c>
      <c r="W406" s="88" t="s">
        <v>4034</v>
      </c>
    </row>
    <row r="407" spans="1:23" ht="14.4">
      <c r="A407" s="7" t="s">
        <v>73</v>
      </c>
      <c r="B407" t="s">
        <v>22</v>
      </c>
      <c r="C407" t="s">
        <v>2510</v>
      </c>
      <c r="D407" s="7" t="s">
        <v>646</v>
      </c>
      <c r="E407" s="7" t="s">
        <v>647</v>
      </c>
      <c r="F407" s="7" t="s">
        <v>648</v>
      </c>
      <c r="G407" s="7" t="s">
        <v>2584</v>
      </c>
      <c r="H407" s="85" t="s">
        <v>3343</v>
      </c>
      <c r="I407" s="85" t="s">
        <v>2725</v>
      </c>
      <c r="J407" s="85" t="s">
        <v>3344</v>
      </c>
      <c r="K407" s="85" t="s">
        <v>16</v>
      </c>
      <c r="L407" s="85">
        <v>2</v>
      </c>
      <c r="M407" s="20">
        <f>Table9[[#This Row],[Rate
(Please Select from the list)]]/5</f>
        <v>0.4</v>
      </c>
      <c r="N407" s="73">
        <v>2.86</v>
      </c>
      <c r="O407" s="74">
        <f>Table9[[#This Row],[Score %]]*Table9[[#This Row],[Item Weight
(Please Select from the list)]]</f>
        <v>1.1439999999999999</v>
      </c>
      <c r="P407" s="80">
        <v>3</v>
      </c>
      <c r="Q407" t="s">
        <v>59</v>
      </c>
      <c r="R407" t="s">
        <v>3953</v>
      </c>
      <c r="S407" t="s">
        <v>29</v>
      </c>
      <c r="T407" s="86">
        <v>45421</v>
      </c>
      <c r="U407" t="s">
        <v>14</v>
      </c>
      <c r="V407" t="s">
        <v>3847</v>
      </c>
      <c r="W407" s="88" t="s">
        <v>4034</v>
      </c>
    </row>
    <row r="408" spans="1:23" ht="14.4">
      <c r="A408" s="7" t="s">
        <v>73</v>
      </c>
      <c r="B408" t="s">
        <v>22</v>
      </c>
      <c r="C408" t="s">
        <v>2510</v>
      </c>
      <c r="D408" s="7" t="s">
        <v>649</v>
      </c>
      <c r="E408" s="7" t="s">
        <v>650</v>
      </c>
      <c r="F408" s="7" t="s">
        <v>522</v>
      </c>
      <c r="G408" s="7" t="s">
        <v>2584</v>
      </c>
      <c r="H408" s="85" t="s">
        <v>3345</v>
      </c>
      <c r="I408" s="85" t="s">
        <v>2795</v>
      </c>
      <c r="J408" s="85"/>
      <c r="K408" s="85" t="s">
        <v>855</v>
      </c>
      <c r="L408" s="85">
        <v>4</v>
      </c>
      <c r="M408" s="20">
        <f>Table9[[#This Row],[Rate
(Please Select from the list)]]/5</f>
        <v>0.8</v>
      </c>
      <c r="N408" s="73">
        <v>2.86</v>
      </c>
      <c r="O408" s="74">
        <f>Table9[[#This Row],[Score %]]*Table9[[#This Row],[Item Weight
(Please Select from the list)]]</f>
        <v>2.2879999999999998</v>
      </c>
      <c r="P408" s="80">
        <v>3</v>
      </c>
      <c r="Q408" t="s">
        <v>46</v>
      </c>
      <c r="R408"/>
      <c r="S408" t="s">
        <v>57</v>
      </c>
      <c r="T408"/>
      <c r="U408" t="s">
        <v>58</v>
      </c>
      <c r="V408" t="s">
        <v>3812</v>
      </c>
      <c r="W408" s="88" t="s">
        <v>4034</v>
      </c>
    </row>
    <row r="409" spans="1:23" ht="14.4">
      <c r="A409" s="7" t="s">
        <v>73</v>
      </c>
      <c r="B409" t="s">
        <v>22</v>
      </c>
      <c r="C409" t="s">
        <v>2510</v>
      </c>
      <c r="D409" s="7" t="s">
        <v>651</v>
      </c>
      <c r="E409" s="7" t="s">
        <v>652</v>
      </c>
      <c r="F409" s="7" t="s">
        <v>653</v>
      </c>
      <c r="G409" s="7" t="s">
        <v>2584</v>
      </c>
      <c r="H409" s="85" t="s">
        <v>3346</v>
      </c>
      <c r="I409" s="85" t="s">
        <v>2718</v>
      </c>
      <c r="J409" s="85"/>
      <c r="K409" s="85" t="s">
        <v>47</v>
      </c>
      <c r="L409" s="85">
        <v>4</v>
      </c>
      <c r="M409" s="20">
        <f>Table9[[#This Row],[Rate
(Please Select from the list)]]/5</f>
        <v>0.8</v>
      </c>
      <c r="N409" s="73">
        <v>2.86</v>
      </c>
      <c r="O409" s="74">
        <f>Table9[[#This Row],[Score %]]*Table9[[#This Row],[Item Weight
(Please Select from the list)]]</f>
        <v>2.2879999999999998</v>
      </c>
      <c r="P409" s="80">
        <v>3</v>
      </c>
      <c r="Q409" t="s">
        <v>46</v>
      </c>
      <c r="R409"/>
      <c r="S409" t="s">
        <v>57</v>
      </c>
      <c r="T409"/>
      <c r="U409" t="s">
        <v>44</v>
      </c>
      <c r="V409" t="s">
        <v>3812</v>
      </c>
      <c r="W409" s="88" t="s">
        <v>4034</v>
      </c>
    </row>
    <row r="410" spans="1:23" ht="14.4">
      <c r="A410" s="7" t="s">
        <v>73</v>
      </c>
      <c r="B410" t="s">
        <v>22</v>
      </c>
      <c r="C410" t="s">
        <v>2510</v>
      </c>
      <c r="D410" s="7" t="s">
        <v>654</v>
      </c>
      <c r="E410" s="7" t="s">
        <v>530</v>
      </c>
      <c r="F410" s="7" t="s">
        <v>655</v>
      </c>
      <c r="G410" s="7" t="s">
        <v>2584</v>
      </c>
      <c r="H410" s="85" t="s">
        <v>3347</v>
      </c>
      <c r="I410" s="85" t="s">
        <v>2731</v>
      </c>
      <c r="J410" s="85" t="s">
        <v>3348</v>
      </c>
      <c r="K410" s="85" t="s">
        <v>16</v>
      </c>
      <c r="L410" s="85">
        <v>3</v>
      </c>
      <c r="M410" s="20">
        <f>Table9[[#This Row],[Rate
(Please Select from the list)]]/5</f>
        <v>0.6</v>
      </c>
      <c r="N410" s="73">
        <v>2.86</v>
      </c>
      <c r="O410" s="74">
        <f>Table9[[#This Row],[Score %]]*Table9[[#This Row],[Item Weight
(Please Select from the list)]]</f>
        <v>1.716</v>
      </c>
      <c r="P410" s="80">
        <v>3</v>
      </c>
      <c r="Q410" t="s">
        <v>46</v>
      </c>
      <c r="R410"/>
      <c r="S410" t="s">
        <v>43</v>
      </c>
      <c r="T410"/>
      <c r="U410" t="s">
        <v>58</v>
      </c>
      <c r="V410" t="s">
        <v>3825</v>
      </c>
      <c r="W410" s="88" t="s">
        <v>4034</v>
      </c>
    </row>
    <row r="411" spans="1:23" ht="14.4">
      <c r="A411" s="7" t="s">
        <v>73</v>
      </c>
      <c r="B411" t="s">
        <v>22</v>
      </c>
      <c r="C411" t="s">
        <v>2510</v>
      </c>
      <c r="D411" s="7" t="s">
        <v>656</v>
      </c>
      <c r="E411" s="7" t="s">
        <v>657</v>
      </c>
      <c r="F411" s="7" t="s">
        <v>658</v>
      </c>
      <c r="G411" s="7" t="s">
        <v>2584</v>
      </c>
      <c r="H411" s="85" t="s">
        <v>3349</v>
      </c>
      <c r="I411" s="85" t="s">
        <v>2728</v>
      </c>
      <c r="J411" s="85" t="s">
        <v>3350</v>
      </c>
      <c r="K411" s="85" t="s">
        <v>16</v>
      </c>
      <c r="L411" s="85">
        <v>3</v>
      </c>
      <c r="M411" s="20">
        <f>Table9[[#This Row],[Rate
(Please Select from the list)]]/5</f>
        <v>0.6</v>
      </c>
      <c r="N411" s="73">
        <v>2.86</v>
      </c>
      <c r="O411" s="74">
        <f>Table9[[#This Row],[Score %]]*Table9[[#This Row],[Item Weight
(Please Select from the list)]]</f>
        <v>1.716</v>
      </c>
      <c r="P411" s="80">
        <v>3</v>
      </c>
      <c r="Q411" t="s">
        <v>15</v>
      </c>
      <c r="R411"/>
      <c r="S411" t="s">
        <v>43</v>
      </c>
      <c r="T411"/>
      <c r="U411" t="s">
        <v>58</v>
      </c>
      <c r="V411" t="s">
        <v>3839</v>
      </c>
      <c r="W411" s="88" t="s">
        <v>4034</v>
      </c>
    </row>
    <row r="412" spans="1:23" ht="14.4">
      <c r="A412" s="7" t="s">
        <v>73</v>
      </c>
      <c r="B412" t="s">
        <v>22</v>
      </c>
      <c r="C412" t="s">
        <v>2510</v>
      </c>
      <c r="D412" s="7" t="s">
        <v>659</v>
      </c>
      <c r="E412" s="7" t="s">
        <v>660</v>
      </c>
      <c r="F412" s="7" t="s">
        <v>661</v>
      </c>
      <c r="G412" s="7" t="s">
        <v>2584</v>
      </c>
      <c r="H412" s="85" t="s">
        <v>3351</v>
      </c>
      <c r="I412" s="85" t="s">
        <v>2736</v>
      </c>
      <c r="J412" s="85" t="s">
        <v>3352</v>
      </c>
      <c r="K412" s="85" t="s">
        <v>16</v>
      </c>
      <c r="L412" s="85">
        <v>3</v>
      </c>
      <c r="M412" s="20">
        <f>Table9[[#This Row],[Rate
(Please Select from the list)]]/5</f>
        <v>0.6</v>
      </c>
      <c r="N412" s="73">
        <v>2.86</v>
      </c>
      <c r="O412" s="74">
        <f>Table9[[#This Row],[Score %]]*Table9[[#This Row],[Item Weight
(Please Select from the list)]]</f>
        <v>1.716</v>
      </c>
      <c r="P412" s="80">
        <v>3</v>
      </c>
      <c r="Q412" t="s">
        <v>59</v>
      </c>
      <c r="R412"/>
      <c r="S412" t="s">
        <v>43</v>
      </c>
      <c r="T412"/>
      <c r="U412" t="s">
        <v>44</v>
      </c>
      <c r="V412" t="s">
        <v>3817</v>
      </c>
      <c r="W412" s="88" t="s">
        <v>4034</v>
      </c>
    </row>
    <row r="413" spans="1:23" ht="14.4">
      <c r="A413" s="7" t="s">
        <v>73</v>
      </c>
      <c r="B413" t="s">
        <v>22</v>
      </c>
      <c r="C413" t="s">
        <v>2510</v>
      </c>
      <c r="D413" s="7" t="s">
        <v>662</v>
      </c>
      <c r="E413" s="7" t="s">
        <v>663</v>
      </c>
      <c r="F413" s="7" t="s">
        <v>664</v>
      </c>
      <c r="G413" s="7" t="s">
        <v>2584</v>
      </c>
      <c r="H413" s="85" t="s">
        <v>3353</v>
      </c>
      <c r="I413" s="85" t="s">
        <v>2731</v>
      </c>
      <c r="J413" s="85" t="s">
        <v>3354</v>
      </c>
      <c r="K413" s="85" t="s">
        <v>16</v>
      </c>
      <c r="L413" s="85">
        <v>3</v>
      </c>
      <c r="M413" s="20">
        <f>Table9[[#This Row],[Rate
(Please Select from the list)]]/5</f>
        <v>0.6</v>
      </c>
      <c r="N413" s="73">
        <v>2.86</v>
      </c>
      <c r="O413" s="74">
        <f>Table9[[#This Row],[Score %]]*Table9[[#This Row],[Item Weight
(Please Select from the list)]]</f>
        <v>1.716</v>
      </c>
      <c r="P413" s="80">
        <v>3</v>
      </c>
      <c r="Q413" t="s">
        <v>15</v>
      </c>
      <c r="R413"/>
      <c r="S413" t="s">
        <v>43</v>
      </c>
      <c r="T413"/>
      <c r="U413" t="s">
        <v>58</v>
      </c>
      <c r="V413" t="s">
        <v>3839</v>
      </c>
      <c r="W413" s="88" t="s">
        <v>4034</v>
      </c>
    </row>
    <row r="414" spans="1:23" ht="14.4">
      <c r="A414" s="7" t="s">
        <v>73</v>
      </c>
      <c r="B414" t="s">
        <v>22</v>
      </c>
      <c r="C414" t="s">
        <v>2510</v>
      </c>
      <c r="D414" s="7" t="s">
        <v>665</v>
      </c>
      <c r="E414" s="7" t="s">
        <v>666</v>
      </c>
      <c r="F414" s="7" t="s">
        <v>667</v>
      </c>
      <c r="G414" s="7" t="s">
        <v>2584</v>
      </c>
      <c r="H414" s="85" t="s">
        <v>3355</v>
      </c>
      <c r="I414" s="85" t="s">
        <v>2736</v>
      </c>
      <c r="J414" s="85" t="s">
        <v>3356</v>
      </c>
      <c r="K414" s="85" t="s">
        <v>16</v>
      </c>
      <c r="L414" s="85">
        <v>3</v>
      </c>
      <c r="M414" s="20">
        <f>Table9[[#This Row],[Rate
(Please Select from the list)]]/5</f>
        <v>0.6</v>
      </c>
      <c r="N414" s="73">
        <v>2.86</v>
      </c>
      <c r="O414" s="74">
        <f>Table9[[#This Row],[Score %]]*Table9[[#This Row],[Item Weight
(Please Select from the list)]]</f>
        <v>1.716</v>
      </c>
      <c r="P414" s="80">
        <v>3</v>
      </c>
      <c r="Q414" t="s">
        <v>15</v>
      </c>
      <c r="R414"/>
      <c r="S414" t="s">
        <v>43</v>
      </c>
      <c r="T414"/>
      <c r="U414" t="s">
        <v>58</v>
      </c>
      <c r="V414" t="s">
        <v>3815</v>
      </c>
      <c r="W414" s="88" t="s">
        <v>4034</v>
      </c>
    </row>
    <row r="415" spans="1:23" ht="14.4">
      <c r="A415" s="7" t="s">
        <v>83</v>
      </c>
      <c r="B415" t="s">
        <v>23</v>
      </c>
      <c r="C415" t="s">
        <v>2518</v>
      </c>
      <c r="D415" s="7" t="s">
        <v>668</v>
      </c>
      <c r="E415" s="7" t="s">
        <v>669</v>
      </c>
      <c r="F415" s="7" t="s">
        <v>670</v>
      </c>
      <c r="G415" s="7" t="s">
        <v>2584</v>
      </c>
      <c r="H415" s="85" t="s">
        <v>3357</v>
      </c>
      <c r="I415" s="85" t="s">
        <v>2795</v>
      </c>
      <c r="J415" s="85"/>
      <c r="K415" s="85" t="s">
        <v>16</v>
      </c>
      <c r="L415" s="85">
        <v>4</v>
      </c>
      <c r="M415" s="20">
        <f>Table9[[#This Row],[Rate
(Please Select from the list)]]/5</f>
        <v>0.8</v>
      </c>
      <c r="N415" s="73">
        <v>2.86</v>
      </c>
      <c r="O415" s="74">
        <f>Table9[[#This Row],[Score %]]*Table9[[#This Row],[Item Weight
(Please Select from the list)]]</f>
        <v>2.2879999999999998</v>
      </c>
      <c r="P415" s="80">
        <v>3</v>
      </c>
      <c r="Q415" t="s">
        <v>46</v>
      </c>
      <c r="R415"/>
      <c r="S415" t="s">
        <v>57</v>
      </c>
      <c r="T415"/>
      <c r="U415" t="s">
        <v>58</v>
      </c>
      <c r="V415" t="s">
        <v>3812</v>
      </c>
      <c r="W415" s="88" t="s">
        <v>4034</v>
      </c>
    </row>
    <row r="416" spans="1:23" ht="14.4">
      <c r="A416" s="7" t="s">
        <v>83</v>
      </c>
      <c r="B416" t="s">
        <v>23</v>
      </c>
      <c r="C416" t="s">
        <v>2518</v>
      </c>
      <c r="D416" s="7" t="s">
        <v>671</v>
      </c>
      <c r="E416" s="7" t="s">
        <v>672</v>
      </c>
      <c r="F416" s="7" t="s">
        <v>673</v>
      </c>
      <c r="G416" s="7" t="s">
        <v>2584</v>
      </c>
      <c r="H416" s="85" t="s">
        <v>3358</v>
      </c>
      <c r="I416" s="85" t="s">
        <v>2748</v>
      </c>
      <c r="J416" s="85"/>
      <c r="K416" s="85" t="s">
        <v>16</v>
      </c>
      <c r="L416" s="85">
        <v>4</v>
      </c>
      <c r="M416" s="20">
        <f>Table9[[#This Row],[Rate
(Please Select from the list)]]/5</f>
        <v>0.8</v>
      </c>
      <c r="N416" s="73">
        <v>2.86</v>
      </c>
      <c r="O416" s="74">
        <f>Table9[[#This Row],[Score %]]*Table9[[#This Row],[Item Weight
(Please Select from the list)]]</f>
        <v>2.2879999999999998</v>
      </c>
      <c r="P416" s="80">
        <v>3</v>
      </c>
      <c r="Q416" t="s">
        <v>59</v>
      </c>
      <c r="R416"/>
      <c r="S416" t="s">
        <v>57</v>
      </c>
      <c r="T416"/>
      <c r="U416" t="s">
        <v>58</v>
      </c>
      <c r="V416" t="s">
        <v>3812</v>
      </c>
      <c r="W416" s="88" t="s">
        <v>4034</v>
      </c>
    </row>
    <row r="417" spans="1:23" ht="14.4">
      <c r="A417" s="7" t="s">
        <v>83</v>
      </c>
      <c r="B417" t="s">
        <v>23</v>
      </c>
      <c r="C417" t="s">
        <v>2518</v>
      </c>
      <c r="D417" s="7" t="s">
        <v>674</v>
      </c>
      <c r="E417" s="7" t="s">
        <v>675</v>
      </c>
      <c r="F417" s="7" t="s">
        <v>676</v>
      </c>
      <c r="G417" s="7" t="s">
        <v>2584</v>
      </c>
      <c r="H417" s="85" t="s">
        <v>3359</v>
      </c>
      <c r="I417" s="85" t="s">
        <v>2748</v>
      </c>
      <c r="J417" s="85" t="s">
        <v>3360</v>
      </c>
      <c r="K417" s="85" t="s">
        <v>16</v>
      </c>
      <c r="L417" s="85">
        <v>0</v>
      </c>
      <c r="M417" s="20">
        <f>Table9[[#This Row],[Rate
(Please Select from the list)]]/5</f>
        <v>0</v>
      </c>
      <c r="N417" s="73">
        <v>2.86</v>
      </c>
      <c r="O417" s="74">
        <f>Table9[[#This Row],[Score %]]*Table9[[#This Row],[Item Weight
(Please Select from the list)]]</f>
        <v>0</v>
      </c>
      <c r="P417" s="80">
        <v>3</v>
      </c>
      <c r="Q417" t="s">
        <v>46</v>
      </c>
      <c r="R417"/>
      <c r="S417" t="s">
        <v>3828</v>
      </c>
      <c r="T417"/>
      <c r="U417" t="s">
        <v>45</v>
      </c>
      <c r="V417" t="s">
        <v>3829</v>
      </c>
      <c r="W417" s="88" t="s">
        <v>4034</v>
      </c>
    </row>
    <row r="418" spans="1:23" ht="14.4">
      <c r="A418" s="7" t="s">
        <v>83</v>
      </c>
      <c r="B418" t="s">
        <v>23</v>
      </c>
      <c r="C418" t="s">
        <v>2518</v>
      </c>
      <c r="D418" s="7" t="s">
        <v>677</v>
      </c>
      <c r="E418" s="7" t="s">
        <v>678</v>
      </c>
      <c r="F418" s="7" t="s">
        <v>679</v>
      </c>
      <c r="G418" s="7" t="s">
        <v>2584</v>
      </c>
      <c r="H418" s="85" t="s">
        <v>3361</v>
      </c>
      <c r="I418" s="85" t="s">
        <v>2748</v>
      </c>
      <c r="J418" s="85"/>
      <c r="K418" s="85" t="s">
        <v>855</v>
      </c>
      <c r="L418" s="85">
        <v>4</v>
      </c>
      <c r="M418" s="20">
        <f>Table9[[#This Row],[Rate
(Please Select from the list)]]/5</f>
        <v>0.8</v>
      </c>
      <c r="N418" s="73">
        <v>2.86</v>
      </c>
      <c r="O418" s="74">
        <f>Table9[[#This Row],[Score %]]*Table9[[#This Row],[Item Weight
(Please Select from the list)]]</f>
        <v>2.2879999999999998</v>
      </c>
      <c r="P418" s="80">
        <v>3</v>
      </c>
      <c r="Q418" t="s">
        <v>15</v>
      </c>
      <c r="R418"/>
      <c r="S418" t="s">
        <v>57</v>
      </c>
      <c r="T418"/>
      <c r="U418" t="s">
        <v>58</v>
      </c>
      <c r="V418" t="s">
        <v>3812</v>
      </c>
      <c r="W418" s="88" t="s">
        <v>4034</v>
      </c>
    </row>
    <row r="419" spans="1:23" ht="14.4">
      <c r="A419" s="7" t="s">
        <v>83</v>
      </c>
      <c r="B419" t="s">
        <v>23</v>
      </c>
      <c r="C419" t="s">
        <v>2518</v>
      </c>
      <c r="D419" s="7" t="s">
        <v>680</v>
      </c>
      <c r="E419" s="7" t="s">
        <v>681</v>
      </c>
      <c r="F419" s="7" t="s">
        <v>682</v>
      </c>
      <c r="G419" s="7" t="s">
        <v>2584</v>
      </c>
      <c r="H419" s="85" t="s">
        <v>3362</v>
      </c>
      <c r="I419" s="85" t="s">
        <v>2725</v>
      </c>
      <c r="J419" s="85"/>
      <c r="K419" s="85" t="s">
        <v>16</v>
      </c>
      <c r="L419" s="85">
        <v>4</v>
      </c>
      <c r="M419" s="20">
        <f>Table9[[#This Row],[Rate
(Please Select from the list)]]/5</f>
        <v>0.8</v>
      </c>
      <c r="N419" s="73">
        <v>2.86</v>
      </c>
      <c r="O419" s="74">
        <f>Table9[[#This Row],[Score %]]*Table9[[#This Row],[Item Weight
(Please Select from the list)]]</f>
        <v>2.2879999999999998</v>
      </c>
      <c r="P419" s="80">
        <v>3</v>
      </c>
      <c r="Q419" t="s">
        <v>46</v>
      </c>
      <c r="R419"/>
      <c r="S419" t="s">
        <v>57</v>
      </c>
      <c r="T419"/>
      <c r="U419" t="s">
        <v>44</v>
      </c>
      <c r="V419" t="s">
        <v>3812</v>
      </c>
      <c r="W419" s="88" t="s">
        <v>4034</v>
      </c>
    </row>
    <row r="420" spans="1:23" ht="14.4">
      <c r="A420" s="7" t="s">
        <v>83</v>
      </c>
      <c r="B420" t="s">
        <v>23</v>
      </c>
      <c r="C420" t="s">
        <v>2518</v>
      </c>
      <c r="D420" s="7" t="s">
        <v>683</v>
      </c>
      <c r="E420" s="7" t="s">
        <v>684</v>
      </c>
      <c r="F420" s="7" t="s">
        <v>685</v>
      </c>
      <c r="G420" s="7" t="s">
        <v>2584</v>
      </c>
      <c r="H420" s="85" t="s">
        <v>3363</v>
      </c>
      <c r="I420" s="85" t="s">
        <v>2718</v>
      </c>
      <c r="J420" s="85"/>
      <c r="K420" s="85" t="s">
        <v>855</v>
      </c>
      <c r="L420" s="85">
        <v>4</v>
      </c>
      <c r="M420" s="20">
        <f>Table9[[#This Row],[Rate
(Please Select from the list)]]/5</f>
        <v>0.8</v>
      </c>
      <c r="N420" s="73">
        <v>2.86</v>
      </c>
      <c r="O420" s="74">
        <f>Table9[[#This Row],[Score %]]*Table9[[#This Row],[Item Weight
(Please Select from the list)]]</f>
        <v>2.2879999999999998</v>
      </c>
      <c r="P420" s="80">
        <v>3</v>
      </c>
      <c r="Q420" t="s">
        <v>46</v>
      </c>
      <c r="R420"/>
      <c r="S420" t="s">
        <v>57</v>
      </c>
      <c r="T420"/>
      <c r="U420" t="s">
        <v>44</v>
      </c>
      <c r="V420" t="s">
        <v>3812</v>
      </c>
      <c r="W420" s="88" t="s">
        <v>4034</v>
      </c>
    </row>
    <row r="421" spans="1:23" ht="14.4">
      <c r="A421" s="7" t="s">
        <v>83</v>
      </c>
      <c r="B421" t="s">
        <v>23</v>
      </c>
      <c r="C421" t="s">
        <v>2518</v>
      </c>
      <c r="D421" s="7" t="s">
        <v>686</v>
      </c>
      <c r="E421" s="7" t="s">
        <v>687</v>
      </c>
      <c r="F421" s="7" t="s">
        <v>688</v>
      </c>
      <c r="G421" s="7" t="s">
        <v>2584</v>
      </c>
      <c r="H421" s="85" t="s">
        <v>3364</v>
      </c>
      <c r="I421" s="85" t="s">
        <v>2728</v>
      </c>
      <c r="J421" s="85"/>
      <c r="K421" s="85" t="s">
        <v>47</v>
      </c>
      <c r="L421" s="85">
        <v>4</v>
      </c>
      <c r="M421" s="20">
        <f>Table9[[#This Row],[Rate
(Please Select from the list)]]/5</f>
        <v>0.8</v>
      </c>
      <c r="N421" s="73">
        <v>2.86</v>
      </c>
      <c r="O421" s="74">
        <f>Table9[[#This Row],[Score %]]*Table9[[#This Row],[Item Weight
(Please Select from the list)]]</f>
        <v>2.2879999999999998</v>
      </c>
      <c r="P421" s="80">
        <v>3</v>
      </c>
      <c r="Q421" t="s">
        <v>31</v>
      </c>
      <c r="R421"/>
      <c r="S421" t="s">
        <v>57</v>
      </c>
      <c r="T421"/>
      <c r="U421" t="s">
        <v>58</v>
      </c>
      <c r="V421" t="s">
        <v>3812</v>
      </c>
      <c r="W421" s="88" t="s">
        <v>4034</v>
      </c>
    </row>
    <row r="422" spans="1:23" ht="14.4">
      <c r="A422" s="7" t="s">
        <v>83</v>
      </c>
      <c r="B422" t="s">
        <v>23</v>
      </c>
      <c r="C422" t="s">
        <v>2518</v>
      </c>
      <c r="D422" s="7" t="s">
        <v>689</v>
      </c>
      <c r="E422" s="7" t="s">
        <v>690</v>
      </c>
      <c r="F422" s="7" t="s">
        <v>691</v>
      </c>
      <c r="G422" s="7" t="s">
        <v>2584</v>
      </c>
      <c r="H422" s="85" t="s">
        <v>3365</v>
      </c>
      <c r="I422" s="85" t="s">
        <v>2739</v>
      </c>
      <c r="J422" s="85"/>
      <c r="K422" s="85" t="s">
        <v>16</v>
      </c>
      <c r="L422" s="85">
        <v>5</v>
      </c>
      <c r="M422" s="20">
        <f>Table9[[#This Row],[Rate
(Please Select from the list)]]/5</f>
        <v>1</v>
      </c>
      <c r="N422" s="77">
        <v>2.86</v>
      </c>
      <c r="O422" s="74">
        <f>Table9[[#This Row],[Score %]]*Table9[[#This Row],[Item Weight
(Please Select from the list)]]</f>
        <v>2.86</v>
      </c>
      <c r="P422" s="80">
        <v>3</v>
      </c>
      <c r="Q422" t="s">
        <v>3852</v>
      </c>
      <c r="R422"/>
      <c r="S422" t="s">
        <v>57</v>
      </c>
      <c r="T422"/>
      <c r="U422" t="s">
        <v>58</v>
      </c>
      <c r="V422" t="s">
        <v>3851</v>
      </c>
      <c r="W422" s="88" t="s">
        <v>4034</v>
      </c>
    </row>
    <row r="423" spans="1:23" ht="14.4">
      <c r="A423" s="7" t="s">
        <v>83</v>
      </c>
      <c r="B423" t="s">
        <v>23</v>
      </c>
      <c r="C423" t="s">
        <v>2518</v>
      </c>
      <c r="D423" s="7" t="s">
        <v>692</v>
      </c>
      <c r="E423" s="7" t="s">
        <v>693</v>
      </c>
      <c r="F423" s="7" t="s">
        <v>694</v>
      </c>
      <c r="G423" s="7" t="s">
        <v>2584</v>
      </c>
      <c r="H423" s="85" t="s">
        <v>3366</v>
      </c>
      <c r="I423" s="85" t="s">
        <v>2716</v>
      </c>
      <c r="J423" s="85" t="s">
        <v>3367</v>
      </c>
      <c r="K423" s="85" t="s">
        <v>16</v>
      </c>
      <c r="L423" s="85">
        <v>2</v>
      </c>
      <c r="M423" s="20">
        <f>Table9[[#This Row],[Rate
(Please Select from the list)]]/5</f>
        <v>0.4</v>
      </c>
      <c r="N423" s="77">
        <v>2.86</v>
      </c>
      <c r="O423" s="74">
        <f>Table9[[#This Row],[Score %]]*Table9[[#This Row],[Item Weight
(Please Select from the list)]]</f>
        <v>1.1439999999999999</v>
      </c>
      <c r="P423" s="80">
        <v>3</v>
      </c>
      <c r="Q423" t="s">
        <v>59</v>
      </c>
      <c r="R423" t="s">
        <v>3954</v>
      </c>
      <c r="S423" t="s">
        <v>13</v>
      </c>
      <c r="T423" t="s">
        <v>3820</v>
      </c>
      <c r="U423" t="s">
        <v>14</v>
      </c>
      <c r="V423" t="s">
        <v>3859</v>
      </c>
      <c r="W423" s="88" t="s">
        <v>4034</v>
      </c>
    </row>
    <row r="424" spans="1:23" ht="14.4">
      <c r="A424" s="7" t="s">
        <v>83</v>
      </c>
      <c r="B424" t="s">
        <v>23</v>
      </c>
      <c r="C424" t="s">
        <v>2518</v>
      </c>
      <c r="D424" s="7" t="s">
        <v>695</v>
      </c>
      <c r="E424" s="7" t="s">
        <v>696</v>
      </c>
      <c r="F424" s="7" t="s">
        <v>697</v>
      </c>
      <c r="G424" s="7" t="s">
        <v>2584</v>
      </c>
      <c r="H424" s="85" t="s">
        <v>3368</v>
      </c>
      <c r="I424" s="85" t="s">
        <v>2725</v>
      </c>
      <c r="J424" s="85"/>
      <c r="K424" s="85" t="s">
        <v>855</v>
      </c>
      <c r="L424" s="85">
        <v>4</v>
      </c>
      <c r="M424" s="20">
        <f>Table9[[#This Row],[Rate
(Please Select from the list)]]/5</f>
        <v>0.8</v>
      </c>
      <c r="N424" s="77">
        <v>2.86</v>
      </c>
      <c r="O424" s="74">
        <f>Table9[[#This Row],[Score %]]*Table9[[#This Row],[Item Weight
(Please Select from the list)]]</f>
        <v>2.2879999999999998</v>
      </c>
      <c r="P424" s="80">
        <v>3</v>
      </c>
      <c r="Q424" t="s">
        <v>46</v>
      </c>
      <c r="R424"/>
      <c r="S424" t="s">
        <v>57</v>
      </c>
      <c r="T424"/>
      <c r="U424" t="s">
        <v>58</v>
      </c>
      <c r="V424" t="s">
        <v>3812</v>
      </c>
      <c r="W424" s="88" t="s">
        <v>4034</v>
      </c>
    </row>
    <row r="425" spans="1:23" ht="14.4">
      <c r="A425" s="7" t="s">
        <v>83</v>
      </c>
      <c r="B425" t="s">
        <v>23</v>
      </c>
      <c r="C425" t="s">
        <v>2518</v>
      </c>
      <c r="D425" s="7" t="s">
        <v>698</v>
      </c>
      <c r="E425" s="7" t="s">
        <v>699</v>
      </c>
      <c r="F425" s="7" t="s">
        <v>700</v>
      </c>
      <c r="G425" s="7" t="s">
        <v>2584</v>
      </c>
      <c r="H425" s="85" t="s">
        <v>3369</v>
      </c>
      <c r="I425" s="85" t="s">
        <v>2739</v>
      </c>
      <c r="J425" s="85"/>
      <c r="K425" s="85" t="s">
        <v>47</v>
      </c>
      <c r="L425" s="85">
        <v>4</v>
      </c>
      <c r="M425" s="20">
        <f>Table9[[#This Row],[Rate
(Please Select from the list)]]/5</f>
        <v>0.8</v>
      </c>
      <c r="N425" s="77">
        <v>2.86</v>
      </c>
      <c r="O425" s="74">
        <f>Table9[[#This Row],[Score %]]*Table9[[#This Row],[Item Weight
(Please Select from the list)]]</f>
        <v>2.2879999999999998</v>
      </c>
      <c r="P425" s="80">
        <v>3</v>
      </c>
      <c r="Q425" t="s">
        <v>59</v>
      </c>
      <c r="R425"/>
      <c r="S425" t="s">
        <v>43</v>
      </c>
      <c r="T425"/>
      <c r="U425" t="s">
        <v>44</v>
      </c>
      <c r="V425" t="s">
        <v>3812</v>
      </c>
      <c r="W425" s="88" t="s">
        <v>4034</v>
      </c>
    </row>
    <row r="426" spans="1:23" ht="14.4">
      <c r="A426" s="7" t="s">
        <v>83</v>
      </c>
      <c r="B426" t="s">
        <v>23</v>
      </c>
      <c r="C426" t="s">
        <v>2518</v>
      </c>
      <c r="D426" s="7" t="s">
        <v>701</v>
      </c>
      <c r="E426" s="7" t="s">
        <v>702</v>
      </c>
      <c r="F426" s="7" t="s">
        <v>703</v>
      </c>
      <c r="G426" s="7" t="s">
        <v>2584</v>
      </c>
      <c r="H426" s="85" t="s">
        <v>3370</v>
      </c>
      <c r="I426" s="85" t="s">
        <v>2739</v>
      </c>
      <c r="J426" s="85" t="s">
        <v>3371</v>
      </c>
      <c r="K426" s="85" t="s">
        <v>16</v>
      </c>
      <c r="L426" s="85">
        <v>3</v>
      </c>
      <c r="M426" s="20">
        <f>Table9[[#This Row],[Rate
(Please Select from the list)]]/5</f>
        <v>0.6</v>
      </c>
      <c r="N426" s="77">
        <v>2.86</v>
      </c>
      <c r="O426" s="74">
        <f>Table9[[#This Row],[Score %]]*Table9[[#This Row],[Item Weight
(Please Select from the list)]]</f>
        <v>1.716</v>
      </c>
      <c r="P426" s="80">
        <v>3</v>
      </c>
      <c r="Q426" t="s">
        <v>46</v>
      </c>
      <c r="R426" t="s">
        <v>3955</v>
      </c>
      <c r="S426" t="s">
        <v>29</v>
      </c>
      <c r="T426" s="86">
        <v>45421</v>
      </c>
      <c r="U426" t="s">
        <v>14</v>
      </c>
      <c r="V426" t="s">
        <v>3817</v>
      </c>
      <c r="W426" s="88" t="s">
        <v>4034</v>
      </c>
    </row>
    <row r="427" spans="1:23" ht="14.4">
      <c r="A427" s="7" t="s">
        <v>83</v>
      </c>
      <c r="B427" t="s">
        <v>23</v>
      </c>
      <c r="C427" t="s">
        <v>2518</v>
      </c>
      <c r="D427" s="7" t="s">
        <v>704</v>
      </c>
      <c r="E427" s="7" t="s">
        <v>705</v>
      </c>
      <c r="F427" s="7" t="s">
        <v>706</v>
      </c>
      <c r="G427" s="7" t="s">
        <v>2584</v>
      </c>
      <c r="H427" s="85" t="s">
        <v>3372</v>
      </c>
      <c r="I427" s="85" t="s">
        <v>2731</v>
      </c>
      <c r="J427" s="85"/>
      <c r="K427" s="85" t="s">
        <v>16</v>
      </c>
      <c r="L427" s="85">
        <v>4</v>
      </c>
      <c r="M427" s="20">
        <f>Table9[[#This Row],[Rate
(Please Select from the list)]]/5</f>
        <v>0.8</v>
      </c>
      <c r="N427" s="77">
        <v>2.86</v>
      </c>
      <c r="O427" s="74">
        <f>Table9[[#This Row],[Score %]]*Table9[[#This Row],[Item Weight
(Please Select from the list)]]</f>
        <v>2.2879999999999998</v>
      </c>
      <c r="P427" s="80">
        <v>3</v>
      </c>
      <c r="Q427" t="s">
        <v>46</v>
      </c>
      <c r="R427"/>
      <c r="S427" t="s">
        <v>43</v>
      </c>
      <c r="T427"/>
      <c r="U427" t="s">
        <v>44</v>
      </c>
      <c r="V427" t="s">
        <v>3812</v>
      </c>
      <c r="W427" s="88" t="s">
        <v>4034</v>
      </c>
    </row>
    <row r="428" spans="1:23" ht="14.4">
      <c r="A428" s="7" t="s">
        <v>83</v>
      </c>
      <c r="B428" t="s">
        <v>23</v>
      </c>
      <c r="C428" t="s">
        <v>2518</v>
      </c>
      <c r="D428" s="7" t="s">
        <v>707</v>
      </c>
      <c r="E428" s="7" t="s">
        <v>708</v>
      </c>
      <c r="F428" s="7" t="s">
        <v>709</v>
      </c>
      <c r="G428" s="7" t="s">
        <v>2584</v>
      </c>
      <c r="H428" s="85" t="s">
        <v>3373</v>
      </c>
      <c r="I428" s="85" t="s">
        <v>2718</v>
      </c>
      <c r="J428" s="85" t="s">
        <v>3374</v>
      </c>
      <c r="K428" s="85" t="s">
        <v>16</v>
      </c>
      <c r="L428" s="85">
        <v>3</v>
      </c>
      <c r="M428" s="20">
        <f>Table9[[#This Row],[Rate
(Please Select from the list)]]/5</f>
        <v>0.6</v>
      </c>
      <c r="N428" s="77">
        <v>2.86</v>
      </c>
      <c r="O428" s="74">
        <f>Table9[[#This Row],[Score %]]*Table9[[#This Row],[Item Weight
(Please Select from the list)]]</f>
        <v>1.716</v>
      </c>
      <c r="P428" s="80">
        <v>3</v>
      </c>
      <c r="Q428" t="s">
        <v>46</v>
      </c>
      <c r="R428" t="s">
        <v>3956</v>
      </c>
      <c r="S428" t="s">
        <v>43</v>
      </c>
      <c r="T428" t="s">
        <v>3844</v>
      </c>
      <c r="U428" t="s">
        <v>30</v>
      </c>
      <c r="V428" t="s">
        <v>3825</v>
      </c>
      <c r="W428" s="88" t="s">
        <v>4034</v>
      </c>
    </row>
    <row r="429" spans="1:23" ht="14.4">
      <c r="A429" s="7" t="s">
        <v>83</v>
      </c>
      <c r="B429" t="s">
        <v>23</v>
      </c>
      <c r="C429" t="s">
        <v>2518</v>
      </c>
      <c r="D429" s="7" t="s">
        <v>710</v>
      </c>
      <c r="E429" s="7" t="s">
        <v>711</v>
      </c>
      <c r="F429" s="7" t="s">
        <v>712</v>
      </c>
      <c r="G429" s="7" t="s">
        <v>2584</v>
      </c>
      <c r="H429" s="85" t="s">
        <v>3375</v>
      </c>
      <c r="I429" s="85" t="s">
        <v>2728</v>
      </c>
      <c r="J429" s="85" t="s">
        <v>3376</v>
      </c>
      <c r="K429" s="85" t="s">
        <v>16</v>
      </c>
      <c r="L429" s="85">
        <v>3</v>
      </c>
      <c r="M429" s="20">
        <f>Table9[[#This Row],[Rate
(Please Select from the list)]]/5</f>
        <v>0.6</v>
      </c>
      <c r="N429" s="77">
        <v>2.86</v>
      </c>
      <c r="O429" s="74">
        <f>Table9[[#This Row],[Score %]]*Table9[[#This Row],[Item Weight
(Please Select from the list)]]</f>
        <v>1.716</v>
      </c>
      <c r="P429" s="80">
        <v>3</v>
      </c>
      <c r="Q429" t="s">
        <v>46</v>
      </c>
      <c r="R429"/>
      <c r="S429" t="s">
        <v>43</v>
      </c>
      <c r="T429"/>
      <c r="U429" t="s">
        <v>44</v>
      </c>
      <c r="V429" t="s">
        <v>3813</v>
      </c>
      <c r="W429" s="88" t="s">
        <v>4034</v>
      </c>
    </row>
    <row r="430" spans="1:23" ht="14.4">
      <c r="A430" s="7" t="s">
        <v>83</v>
      </c>
      <c r="B430" t="s">
        <v>23</v>
      </c>
      <c r="C430" t="s">
        <v>2518</v>
      </c>
      <c r="D430" s="7" t="s">
        <v>713</v>
      </c>
      <c r="E430" s="7" t="s">
        <v>714</v>
      </c>
      <c r="F430" s="7" t="s">
        <v>715</v>
      </c>
      <c r="G430" s="7" t="s">
        <v>2584</v>
      </c>
      <c r="H430" s="85" t="s">
        <v>3377</v>
      </c>
      <c r="I430" s="85" t="s">
        <v>2728</v>
      </c>
      <c r="J430" s="85"/>
      <c r="K430" s="85" t="s">
        <v>47</v>
      </c>
      <c r="L430" s="85">
        <v>4</v>
      </c>
      <c r="M430" s="20">
        <f>Table9[[#This Row],[Rate
(Please Select from the list)]]/5</f>
        <v>0.8</v>
      </c>
      <c r="N430" s="77">
        <v>2.86</v>
      </c>
      <c r="O430" s="74">
        <f>Table9[[#This Row],[Score %]]*Table9[[#This Row],[Item Weight
(Please Select from the list)]]</f>
        <v>2.2879999999999998</v>
      </c>
      <c r="P430" s="80">
        <v>3</v>
      </c>
      <c r="Q430" t="s">
        <v>46</v>
      </c>
      <c r="R430"/>
      <c r="S430" t="s">
        <v>57</v>
      </c>
      <c r="T430"/>
      <c r="U430" t="s">
        <v>44</v>
      </c>
      <c r="V430" t="s">
        <v>3812</v>
      </c>
      <c r="W430" s="88" t="s">
        <v>4034</v>
      </c>
    </row>
    <row r="431" spans="1:23" ht="14.4">
      <c r="A431" s="7" t="s">
        <v>83</v>
      </c>
      <c r="B431" t="s">
        <v>23</v>
      </c>
      <c r="C431" t="s">
        <v>2518</v>
      </c>
      <c r="D431" s="7" t="s">
        <v>716</v>
      </c>
      <c r="E431" s="7" t="s">
        <v>717</v>
      </c>
      <c r="F431" s="7" t="s">
        <v>718</v>
      </c>
      <c r="G431" s="7" t="s">
        <v>2584</v>
      </c>
      <c r="H431" s="85" t="s">
        <v>3378</v>
      </c>
      <c r="I431" s="85" t="s">
        <v>2795</v>
      </c>
      <c r="J431" s="85"/>
      <c r="K431" s="85" t="s">
        <v>855</v>
      </c>
      <c r="L431" s="85">
        <v>4</v>
      </c>
      <c r="M431" s="20">
        <f>Table9[[#This Row],[Rate
(Please Select from the list)]]/5</f>
        <v>0.8</v>
      </c>
      <c r="N431" s="77">
        <v>2.86</v>
      </c>
      <c r="O431" s="74">
        <f>Table9[[#This Row],[Score %]]*Table9[[#This Row],[Item Weight
(Please Select from the list)]]</f>
        <v>2.2879999999999998</v>
      </c>
      <c r="P431" s="80">
        <v>3</v>
      </c>
      <c r="Q431" t="s">
        <v>46</v>
      </c>
      <c r="R431"/>
      <c r="S431" t="s">
        <v>57</v>
      </c>
      <c r="T431"/>
      <c r="U431" t="s">
        <v>58</v>
      </c>
      <c r="V431" t="s">
        <v>3812</v>
      </c>
      <c r="W431" s="88" t="s">
        <v>4034</v>
      </c>
    </row>
    <row r="432" spans="1:23" ht="14.4">
      <c r="A432" s="7" t="s">
        <v>83</v>
      </c>
      <c r="B432" t="s">
        <v>23</v>
      </c>
      <c r="C432" t="s">
        <v>2518</v>
      </c>
      <c r="D432" s="7" t="s">
        <v>719</v>
      </c>
      <c r="E432" s="7" t="s">
        <v>720</v>
      </c>
      <c r="F432" s="7" t="s">
        <v>721</v>
      </c>
      <c r="G432" s="7" t="s">
        <v>2584</v>
      </c>
      <c r="H432" s="85" t="s">
        <v>3379</v>
      </c>
      <c r="I432" s="85" t="s">
        <v>2795</v>
      </c>
      <c r="J432" s="85" t="s">
        <v>3380</v>
      </c>
      <c r="K432" s="85" t="s">
        <v>16</v>
      </c>
      <c r="L432" s="85">
        <v>3</v>
      </c>
      <c r="M432" s="20">
        <f>Table9[[#This Row],[Rate
(Please Select from the list)]]/5</f>
        <v>0.6</v>
      </c>
      <c r="N432" s="77">
        <v>2.86</v>
      </c>
      <c r="O432" s="74">
        <f>Table9[[#This Row],[Score %]]*Table9[[#This Row],[Item Weight
(Please Select from the list)]]</f>
        <v>1.716</v>
      </c>
      <c r="P432" s="80">
        <v>3</v>
      </c>
      <c r="Q432" t="s">
        <v>15</v>
      </c>
      <c r="R432"/>
      <c r="S432" t="s">
        <v>43</v>
      </c>
      <c r="T432"/>
      <c r="U432" t="s">
        <v>44</v>
      </c>
      <c r="V432" t="s">
        <v>3817</v>
      </c>
      <c r="W432" s="88" t="s">
        <v>4034</v>
      </c>
    </row>
    <row r="433" spans="1:23" ht="14.4">
      <c r="A433" s="7" t="s">
        <v>83</v>
      </c>
      <c r="B433" t="s">
        <v>23</v>
      </c>
      <c r="C433" t="s">
        <v>2518</v>
      </c>
      <c r="D433" s="7" t="s">
        <v>722</v>
      </c>
      <c r="E433" s="7" t="s">
        <v>723</v>
      </c>
      <c r="F433" s="7" t="s">
        <v>724</v>
      </c>
      <c r="G433" s="7" t="s">
        <v>2584</v>
      </c>
      <c r="H433" s="85" t="s">
        <v>3381</v>
      </c>
      <c r="I433" s="85" t="s">
        <v>2716</v>
      </c>
      <c r="J433" s="85" t="s">
        <v>3382</v>
      </c>
      <c r="K433" s="85" t="s">
        <v>16</v>
      </c>
      <c r="L433" s="85">
        <v>3</v>
      </c>
      <c r="M433" s="20">
        <f>Table9[[#This Row],[Rate
(Please Select from the list)]]/5</f>
        <v>0.6</v>
      </c>
      <c r="N433" s="77">
        <v>2.86</v>
      </c>
      <c r="O433" s="74">
        <f>Table9[[#This Row],[Score %]]*Table9[[#This Row],[Item Weight
(Please Select from the list)]]</f>
        <v>1.716</v>
      </c>
      <c r="P433" s="80">
        <v>3</v>
      </c>
      <c r="Q433" t="s">
        <v>15</v>
      </c>
      <c r="R433" t="s">
        <v>3957</v>
      </c>
      <c r="S433" t="s">
        <v>43</v>
      </c>
      <c r="T433" t="s">
        <v>3844</v>
      </c>
      <c r="U433" t="s">
        <v>30</v>
      </c>
      <c r="V433" t="s">
        <v>3825</v>
      </c>
      <c r="W433" s="88" t="s">
        <v>4034</v>
      </c>
    </row>
    <row r="434" spans="1:23" ht="14.4">
      <c r="A434" s="7" t="s">
        <v>83</v>
      </c>
      <c r="B434" t="s">
        <v>23</v>
      </c>
      <c r="C434" t="s">
        <v>2518</v>
      </c>
      <c r="D434" s="7" t="s">
        <v>725</v>
      </c>
      <c r="E434" s="7" t="s">
        <v>726</v>
      </c>
      <c r="F434" s="7" t="s">
        <v>727</v>
      </c>
      <c r="G434" s="7" t="s">
        <v>2584</v>
      </c>
      <c r="H434" s="85" t="s">
        <v>3383</v>
      </c>
      <c r="I434" s="85" t="s">
        <v>2725</v>
      </c>
      <c r="J434" s="85" t="s">
        <v>3384</v>
      </c>
      <c r="K434" s="85" t="s">
        <v>16</v>
      </c>
      <c r="L434" s="85">
        <v>3</v>
      </c>
      <c r="M434" s="20">
        <f>Table9[[#This Row],[Rate
(Please Select from the list)]]/5</f>
        <v>0.6</v>
      </c>
      <c r="N434" s="77">
        <v>2.86</v>
      </c>
      <c r="O434" s="74">
        <f>Table9[[#This Row],[Score %]]*Table9[[#This Row],[Item Weight
(Please Select from the list)]]</f>
        <v>1.716</v>
      </c>
      <c r="P434" s="80">
        <v>3</v>
      </c>
      <c r="Q434" t="s">
        <v>15</v>
      </c>
      <c r="R434"/>
      <c r="S434" t="s">
        <v>43</v>
      </c>
      <c r="T434"/>
      <c r="U434" t="s">
        <v>58</v>
      </c>
      <c r="V434" t="s">
        <v>3813</v>
      </c>
      <c r="W434" s="88" t="s">
        <v>4034</v>
      </c>
    </row>
    <row r="435" spans="1:23" ht="14.4">
      <c r="A435" s="7" t="s">
        <v>83</v>
      </c>
      <c r="B435" t="s">
        <v>23</v>
      </c>
      <c r="C435" t="s">
        <v>2518</v>
      </c>
      <c r="D435" s="7" t="s">
        <v>728</v>
      </c>
      <c r="E435" s="7" t="s">
        <v>729</v>
      </c>
      <c r="F435" s="7" t="s">
        <v>653</v>
      </c>
      <c r="G435" s="7" t="s">
        <v>2584</v>
      </c>
      <c r="H435" s="85" t="s">
        <v>3385</v>
      </c>
      <c r="I435" s="85" t="s">
        <v>2739</v>
      </c>
      <c r="J435" s="85"/>
      <c r="K435" s="85" t="s">
        <v>855</v>
      </c>
      <c r="L435" s="85">
        <v>4</v>
      </c>
      <c r="M435" s="20">
        <f>Table9[[#This Row],[Rate
(Please Select from the list)]]/5</f>
        <v>0.8</v>
      </c>
      <c r="N435" s="77">
        <v>2.86</v>
      </c>
      <c r="O435" s="74">
        <f>Table9[[#This Row],[Score %]]*Table9[[#This Row],[Item Weight
(Please Select from the list)]]</f>
        <v>2.2879999999999998</v>
      </c>
      <c r="P435" s="80">
        <v>3</v>
      </c>
      <c r="Q435" t="s">
        <v>31</v>
      </c>
      <c r="R435"/>
      <c r="S435" t="s">
        <v>43</v>
      </c>
      <c r="T435"/>
      <c r="U435" t="s">
        <v>58</v>
      </c>
      <c r="V435" t="s">
        <v>3812</v>
      </c>
      <c r="W435" s="88" t="s">
        <v>4034</v>
      </c>
    </row>
    <row r="436" spans="1:23" ht="14.4">
      <c r="A436" s="7" t="s">
        <v>83</v>
      </c>
      <c r="B436" t="s">
        <v>23</v>
      </c>
      <c r="C436" t="s">
        <v>2518</v>
      </c>
      <c r="D436" s="7" t="s">
        <v>730</v>
      </c>
      <c r="E436" s="7" t="s">
        <v>530</v>
      </c>
      <c r="F436" s="7" t="s">
        <v>655</v>
      </c>
      <c r="G436" s="7" t="s">
        <v>2584</v>
      </c>
      <c r="H436" s="85" t="s">
        <v>3386</v>
      </c>
      <c r="I436" s="85" t="s">
        <v>2748</v>
      </c>
      <c r="J436" s="85" t="s">
        <v>3387</v>
      </c>
      <c r="K436" s="85" t="s">
        <v>16</v>
      </c>
      <c r="L436" s="85">
        <v>3</v>
      </c>
      <c r="M436" s="20">
        <f>Table9[[#This Row],[Rate
(Please Select from the list)]]/5</f>
        <v>0.6</v>
      </c>
      <c r="N436" s="77">
        <v>2.86</v>
      </c>
      <c r="O436" s="74">
        <f>Table9[[#This Row],[Score %]]*Table9[[#This Row],[Item Weight
(Please Select from the list)]]</f>
        <v>1.716</v>
      </c>
      <c r="P436" s="80">
        <v>3</v>
      </c>
      <c r="Q436" t="s">
        <v>46</v>
      </c>
      <c r="R436"/>
      <c r="S436" t="s">
        <v>43</v>
      </c>
      <c r="T436"/>
      <c r="U436" t="s">
        <v>58</v>
      </c>
      <c r="V436" t="s">
        <v>3825</v>
      </c>
      <c r="W436" s="88" t="s">
        <v>4034</v>
      </c>
    </row>
    <row r="437" spans="1:23" ht="14.4">
      <c r="A437" s="7" t="s">
        <v>83</v>
      </c>
      <c r="B437" t="s">
        <v>23</v>
      </c>
      <c r="C437" t="s">
        <v>2518</v>
      </c>
      <c r="D437" s="7" t="s">
        <v>731</v>
      </c>
      <c r="E437" s="7" t="s">
        <v>732</v>
      </c>
      <c r="F437" s="7" t="s">
        <v>733</v>
      </c>
      <c r="G437" s="7" t="s">
        <v>2584</v>
      </c>
      <c r="H437" s="85" t="s">
        <v>3388</v>
      </c>
      <c r="I437" s="85" t="s">
        <v>2718</v>
      </c>
      <c r="J437" s="85" t="s">
        <v>3389</v>
      </c>
      <c r="K437" s="85" t="s">
        <v>16</v>
      </c>
      <c r="L437" s="85">
        <v>0</v>
      </c>
      <c r="M437" s="20">
        <f>Table9[[#This Row],[Rate
(Please Select from the list)]]/5</f>
        <v>0</v>
      </c>
      <c r="N437" s="77">
        <v>2.86</v>
      </c>
      <c r="O437" s="74">
        <f>Table9[[#This Row],[Score %]]*Table9[[#This Row],[Item Weight
(Please Select from the list)]]</f>
        <v>0</v>
      </c>
      <c r="P437" s="80">
        <v>3</v>
      </c>
      <c r="Q437" t="s">
        <v>3852</v>
      </c>
      <c r="R437"/>
      <c r="S437" t="s">
        <v>3828</v>
      </c>
      <c r="T437"/>
      <c r="U437" t="s">
        <v>45</v>
      </c>
      <c r="V437" t="s">
        <v>3829</v>
      </c>
      <c r="W437" s="88" t="s">
        <v>4034</v>
      </c>
    </row>
    <row r="438" spans="1:23" ht="14.4">
      <c r="A438" s="7" t="s">
        <v>83</v>
      </c>
      <c r="B438" t="s">
        <v>23</v>
      </c>
      <c r="C438" t="s">
        <v>2518</v>
      </c>
      <c r="D438" s="7" t="s">
        <v>734</v>
      </c>
      <c r="E438" s="7" t="s">
        <v>735</v>
      </c>
      <c r="F438" s="7" t="s">
        <v>736</v>
      </c>
      <c r="G438" s="7" t="s">
        <v>2584</v>
      </c>
      <c r="H438" s="85" t="s">
        <v>3390</v>
      </c>
      <c r="I438" s="85" t="s">
        <v>2795</v>
      </c>
      <c r="J438" s="85" t="s">
        <v>3391</v>
      </c>
      <c r="K438" s="85" t="s">
        <v>16</v>
      </c>
      <c r="L438" s="85">
        <v>3</v>
      </c>
      <c r="M438" s="20">
        <f>Table9[[#This Row],[Rate
(Please Select from the list)]]/5</f>
        <v>0.6</v>
      </c>
      <c r="N438" s="77">
        <v>2.86</v>
      </c>
      <c r="O438" s="74">
        <f>Table9[[#This Row],[Score %]]*Table9[[#This Row],[Item Weight
(Please Select from the list)]]</f>
        <v>1.716</v>
      </c>
      <c r="P438" s="80">
        <v>3</v>
      </c>
      <c r="Q438" t="s">
        <v>46</v>
      </c>
      <c r="R438"/>
      <c r="S438" t="s">
        <v>43</v>
      </c>
      <c r="T438"/>
      <c r="U438" t="s">
        <v>44</v>
      </c>
      <c r="V438" t="s">
        <v>3813</v>
      </c>
      <c r="W438" s="88" t="s">
        <v>4034</v>
      </c>
    </row>
    <row r="439" spans="1:23" ht="14.4">
      <c r="A439" s="7" t="s">
        <v>83</v>
      </c>
      <c r="B439" t="s">
        <v>23</v>
      </c>
      <c r="C439" t="s">
        <v>2518</v>
      </c>
      <c r="D439" s="7" t="s">
        <v>737</v>
      </c>
      <c r="E439" s="7" t="s">
        <v>738</v>
      </c>
      <c r="F439" s="7" t="s">
        <v>739</v>
      </c>
      <c r="G439" s="7" t="s">
        <v>2584</v>
      </c>
      <c r="H439" s="85" t="s">
        <v>3392</v>
      </c>
      <c r="I439" s="85" t="s">
        <v>2716</v>
      </c>
      <c r="J439" s="85"/>
      <c r="K439" s="85" t="s">
        <v>16</v>
      </c>
      <c r="L439" s="85">
        <v>4</v>
      </c>
      <c r="M439" s="20">
        <f>Table9[[#This Row],[Rate
(Please Select from the list)]]/5</f>
        <v>0.8</v>
      </c>
      <c r="N439" s="77">
        <v>2.86</v>
      </c>
      <c r="O439" s="74">
        <f>Table9[[#This Row],[Score %]]*Table9[[#This Row],[Item Weight
(Please Select from the list)]]</f>
        <v>2.2879999999999998</v>
      </c>
      <c r="P439" s="80">
        <v>3</v>
      </c>
      <c r="Q439" t="s">
        <v>59</v>
      </c>
      <c r="R439"/>
      <c r="S439" t="s">
        <v>57</v>
      </c>
      <c r="T439"/>
      <c r="U439" t="s">
        <v>58</v>
      </c>
      <c r="V439" t="s">
        <v>3812</v>
      </c>
      <c r="W439" s="88" t="s">
        <v>4034</v>
      </c>
    </row>
    <row r="440" spans="1:23" ht="14.4">
      <c r="A440" s="7" t="s">
        <v>83</v>
      </c>
      <c r="B440" t="s">
        <v>23</v>
      </c>
      <c r="C440" t="s">
        <v>2518</v>
      </c>
      <c r="D440" s="7" t="s">
        <v>740</v>
      </c>
      <c r="E440" s="7" t="s">
        <v>741</v>
      </c>
      <c r="F440" s="7" t="s">
        <v>742</v>
      </c>
      <c r="G440" s="7" t="s">
        <v>2584</v>
      </c>
      <c r="H440" s="85" t="s">
        <v>3393</v>
      </c>
      <c r="I440" s="85" t="s">
        <v>2748</v>
      </c>
      <c r="J440" s="85" t="s">
        <v>3394</v>
      </c>
      <c r="K440" s="85" t="s">
        <v>16</v>
      </c>
      <c r="L440" s="85">
        <v>3</v>
      </c>
      <c r="M440" s="20">
        <f>Table9[[#This Row],[Rate
(Please Select from the list)]]/5</f>
        <v>0.6</v>
      </c>
      <c r="N440" s="77">
        <v>2.86</v>
      </c>
      <c r="O440" s="74">
        <f>Table9[[#This Row],[Score %]]*Table9[[#This Row],[Item Weight
(Please Select from the list)]]</f>
        <v>1.716</v>
      </c>
      <c r="P440" s="80">
        <v>3</v>
      </c>
      <c r="Q440" t="s">
        <v>15</v>
      </c>
      <c r="R440" t="s">
        <v>3958</v>
      </c>
      <c r="S440" t="s">
        <v>43</v>
      </c>
      <c r="T440" t="s">
        <v>3844</v>
      </c>
      <c r="U440" t="s">
        <v>30</v>
      </c>
      <c r="V440" t="s">
        <v>3815</v>
      </c>
      <c r="W440" s="88" t="s">
        <v>4034</v>
      </c>
    </row>
    <row r="441" spans="1:23" ht="14.4">
      <c r="A441" s="7" t="s">
        <v>83</v>
      </c>
      <c r="B441" t="s">
        <v>23</v>
      </c>
      <c r="C441" t="s">
        <v>2518</v>
      </c>
      <c r="D441" s="7" t="s">
        <v>743</v>
      </c>
      <c r="E441" s="7" t="s">
        <v>744</v>
      </c>
      <c r="F441" s="7" t="s">
        <v>745</v>
      </c>
      <c r="G441" s="7" t="s">
        <v>2584</v>
      </c>
      <c r="H441" s="85" t="s">
        <v>3395</v>
      </c>
      <c r="I441" s="85" t="s">
        <v>2718</v>
      </c>
      <c r="J441" s="85"/>
      <c r="K441" s="85" t="s">
        <v>47</v>
      </c>
      <c r="L441" s="85">
        <v>5</v>
      </c>
      <c r="M441" s="20">
        <f>Table9[[#This Row],[Rate
(Please Select from the list)]]/5</f>
        <v>1</v>
      </c>
      <c r="N441" s="77">
        <v>2.86</v>
      </c>
      <c r="O441" s="74">
        <f>Table9[[#This Row],[Score %]]*Table9[[#This Row],[Item Weight
(Please Select from the list)]]</f>
        <v>2.86</v>
      </c>
      <c r="P441" s="80">
        <v>3</v>
      </c>
      <c r="Q441" t="s">
        <v>31</v>
      </c>
      <c r="R441"/>
      <c r="S441" t="s">
        <v>57</v>
      </c>
      <c r="T441"/>
      <c r="U441" t="s">
        <v>58</v>
      </c>
      <c r="V441" t="s">
        <v>3851</v>
      </c>
      <c r="W441" s="88" t="s">
        <v>4034</v>
      </c>
    </row>
    <row r="442" spans="1:23" ht="14.4">
      <c r="A442" s="7" t="s">
        <v>83</v>
      </c>
      <c r="B442" t="s">
        <v>23</v>
      </c>
      <c r="C442" t="s">
        <v>2518</v>
      </c>
      <c r="D442" s="7" t="s">
        <v>746</v>
      </c>
      <c r="E442" s="7" t="s">
        <v>747</v>
      </c>
      <c r="F442" s="7" t="s">
        <v>748</v>
      </c>
      <c r="G442" s="7" t="s">
        <v>2584</v>
      </c>
      <c r="H442" s="85" t="s">
        <v>3396</v>
      </c>
      <c r="I442" s="85" t="s">
        <v>2725</v>
      </c>
      <c r="J442" s="85"/>
      <c r="K442" s="85" t="s">
        <v>16</v>
      </c>
      <c r="L442" s="85">
        <v>4</v>
      </c>
      <c r="M442" s="20">
        <f>Table9[[#This Row],[Rate
(Please Select from the list)]]/5</f>
        <v>0.8</v>
      </c>
      <c r="N442" s="77">
        <v>2.86</v>
      </c>
      <c r="O442" s="74">
        <f>Table9[[#This Row],[Score %]]*Table9[[#This Row],[Item Weight
(Please Select from the list)]]</f>
        <v>2.2879999999999998</v>
      </c>
      <c r="P442" s="80">
        <v>3</v>
      </c>
      <c r="Q442" t="s">
        <v>46</v>
      </c>
      <c r="R442"/>
      <c r="S442" t="s">
        <v>57</v>
      </c>
      <c r="T442"/>
      <c r="U442" t="s">
        <v>44</v>
      </c>
      <c r="V442" t="s">
        <v>3812</v>
      </c>
      <c r="W442" s="88" t="s">
        <v>4034</v>
      </c>
    </row>
    <row r="443" spans="1:23" ht="14.4">
      <c r="A443" s="7" t="s">
        <v>83</v>
      </c>
      <c r="B443" t="s">
        <v>23</v>
      </c>
      <c r="C443" t="s">
        <v>2518</v>
      </c>
      <c r="D443" s="7" t="s">
        <v>749</v>
      </c>
      <c r="E443" s="7" t="s">
        <v>750</v>
      </c>
      <c r="F443" s="7" t="s">
        <v>751</v>
      </c>
      <c r="G443" s="7" t="s">
        <v>2584</v>
      </c>
      <c r="H443" s="85" t="s">
        <v>3397</v>
      </c>
      <c r="I443" s="85" t="s">
        <v>2739</v>
      </c>
      <c r="J443" s="85" t="s">
        <v>3398</v>
      </c>
      <c r="K443" s="85" t="s">
        <v>16</v>
      </c>
      <c r="L443" s="85">
        <v>3</v>
      </c>
      <c r="M443" s="20">
        <f>Table9[[#This Row],[Rate
(Please Select from the list)]]/5</f>
        <v>0.6</v>
      </c>
      <c r="N443" s="77">
        <v>2.86</v>
      </c>
      <c r="O443" s="74">
        <f>Table9[[#This Row],[Score %]]*Table9[[#This Row],[Item Weight
(Please Select from the list)]]</f>
        <v>1.716</v>
      </c>
      <c r="P443" s="80">
        <v>3</v>
      </c>
      <c r="Q443" t="s">
        <v>46</v>
      </c>
      <c r="R443" t="s">
        <v>3959</v>
      </c>
      <c r="S443" t="s">
        <v>29</v>
      </c>
      <c r="T443" s="86">
        <v>45421</v>
      </c>
      <c r="U443" t="s">
        <v>14</v>
      </c>
      <c r="V443" t="s">
        <v>3825</v>
      </c>
      <c r="W443" s="88" t="s">
        <v>4034</v>
      </c>
    </row>
    <row r="444" spans="1:23" ht="14.4">
      <c r="A444" s="7" t="s">
        <v>83</v>
      </c>
      <c r="B444" t="s">
        <v>23</v>
      </c>
      <c r="C444" t="s">
        <v>2518</v>
      </c>
      <c r="D444" s="7" t="s">
        <v>752</v>
      </c>
      <c r="E444" s="7" t="s">
        <v>753</v>
      </c>
      <c r="F444" s="7" t="s">
        <v>754</v>
      </c>
      <c r="G444" s="7" t="s">
        <v>2584</v>
      </c>
      <c r="H444" s="85" t="s">
        <v>3399</v>
      </c>
      <c r="I444" s="85" t="s">
        <v>2725</v>
      </c>
      <c r="J444" s="85" t="s">
        <v>3400</v>
      </c>
      <c r="K444" s="85" t="s">
        <v>16</v>
      </c>
      <c r="L444" s="85">
        <v>3</v>
      </c>
      <c r="M444" s="20">
        <f>Table9[[#This Row],[Rate
(Please Select from the list)]]/5</f>
        <v>0.6</v>
      </c>
      <c r="N444" s="77">
        <v>2.86</v>
      </c>
      <c r="O444" s="74">
        <f>Table9[[#This Row],[Score %]]*Table9[[#This Row],[Item Weight
(Please Select from the list)]]</f>
        <v>1.716</v>
      </c>
      <c r="P444" s="80">
        <v>3</v>
      </c>
      <c r="Q444" t="s">
        <v>46</v>
      </c>
      <c r="R444"/>
      <c r="S444" t="s">
        <v>43</v>
      </c>
      <c r="T444"/>
      <c r="U444" t="s">
        <v>58</v>
      </c>
      <c r="V444" t="s">
        <v>3815</v>
      </c>
      <c r="W444" s="88" t="s">
        <v>4034</v>
      </c>
    </row>
    <row r="445" spans="1:23" ht="14.4">
      <c r="A445" s="7" t="s">
        <v>83</v>
      </c>
      <c r="B445" t="s">
        <v>23</v>
      </c>
      <c r="C445" t="s">
        <v>2518</v>
      </c>
      <c r="D445" s="7" t="s">
        <v>755</v>
      </c>
      <c r="E445" s="7" t="s">
        <v>756</v>
      </c>
      <c r="F445" s="7" t="s">
        <v>757</v>
      </c>
      <c r="G445" s="7" t="s">
        <v>2584</v>
      </c>
      <c r="H445" s="85" t="s">
        <v>3401</v>
      </c>
      <c r="I445" s="85" t="s">
        <v>2739</v>
      </c>
      <c r="J445" s="85"/>
      <c r="K445" s="85" t="s">
        <v>47</v>
      </c>
      <c r="L445" s="85">
        <v>4</v>
      </c>
      <c r="M445" s="20">
        <f>Table9[[#This Row],[Rate
(Please Select from the list)]]/5</f>
        <v>0.8</v>
      </c>
      <c r="N445" s="77">
        <v>2.86</v>
      </c>
      <c r="O445" s="74">
        <f>Table9[[#This Row],[Score %]]*Table9[[#This Row],[Item Weight
(Please Select from the list)]]</f>
        <v>2.2879999999999998</v>
      </c>
      <c r="P445" s="80">
        <v>3</v>
      </c>
      <c r="Q445" t="s">
        <v>46</v>
      </c>
      <c r="R445"/>
      <c r="S445" t="s">
        <v>57</v>
      </c>
      <c r="T445"/>
      <c r="U445" t="s">
        <v>58</v>
      </c>
      <c r="V445" t="s">
        <v>3812</v>
      </c>
      <c r="W445" s="88" t="s">
        <v>4034</v>
      </c>
    </row>
    <row r="446" spans="1:23" ht="14.4">
      <c r="A446" s="7" t="s">
        <v>83</v>
      </c>
      <c r="B446" t="s">
        <v>23</v>
      </c>
      <c r="C446" t="s">
        <v>2518</v>
      </c>
      <c r="D446" s="7" t="s">
        <v>758</v>
      </c>
      <c r="E446" s="7" t="s">
        <v>759</v>
      </c>
      <c r="F446" s="7" t="s">
        <v>760</v>
      </c>
      <c r="G446" s="7" t="s">
        <v>2584</v>
      </c>
      <c r="H446" s="85" t="s">
        <v>3402</v>
      </c>
      <c r="I446" s="85" t="s">
        <v>2754</v>
      </c>
      <c r="J446" s="85"/>
      <c r="K446" s="85" t="s">
        <v>16</v>
      </c>
      <c r="L446" s="85">
        <v>4</v>
      </c>
      <c r="M446" s="20">
        <f>Table9[[#This Row],[Rate
(Please Select from the list)]]/5</f>
        <v>0.8</v>
      </c>
      <c r="N446" s="77">
        <v>2.86</v>
      </c>
      <c r="O446" s="74">
        <f>Table9[[#This Row],[Score %]]*Table9[[#This Row],[Item Weight
(Please Select from the list)]]</f>
        <v>2.2879999999999998</v>
      </c>
      <c r="P446" s="80">
        <v>3</v>
      </c>
      <c r="Q446" t="s">
        <v>46</v>
      </c>
      <c r="R446"/>
      <c r="S446" t="s">
        <v>57</v>
      </c>
      <c r="T446"/>
      <c r="U446" t="s">
        <v>58</v>
      </c>
      <c r="V446" t="s">
        <v>3812</v>
      </c>
      <c r="W446" s="88" t="s">
        <v>4034</v>
      </c>
    </row>
    <row r="447" spans="1:23" ht="14.4">
      <c r="A447" s="7" t="s">
        <v>83</v>
      </c>
      <c r="B447" t="s">
        <v>23</v>
      </c>
      <c r="C447" t="s">
        <v>2518</v>
      </c>
      <c r="D447" s="7" t="s">
        <v>761</v>
      </c>
      <c r="E447" s="7" t="s">
        <v>762</v>
      </c>
      <c r="F447" s="7" t="s">
        <v>763</v>
      </c>
      <c r="G447" s="7" t="s">
        <v>2584</v>
      </c>
      <c r="H447" s="85" t="s">
        <v>3403</v>
      </c>
      <c r="I447" s="85" t="s">
        <v>2795</v>
      </c>
      <c r="J447" s="85" t="s">
        <v>3404</v>
      </c>
      <c r="K447" s="85" t="s">
        <v>16</v>
      </c>
      <c r="L447" s="85">
        <v>2</v>
      </c>
      <c r="M447" s="20">
        <f>Table9[[#This Row],[Rate
(Please Select from the list)]]/5</f>
        <v>0.4</v>
      </c>
      <c r="N447" s="77">
        <v>2.86</v>
      </c>
      <c r="O447" s="74">
        <f>Table9[[#This Row],[Score %]]*Table9[[#This Row],[Item Weight
(Please Select from the list)]]</f>
        <v>1.1439999999999999</v>
      </c>
      <c r="P447" s="80">
        <v>3</v>
      </c>
      <c r="Q447" t="s">
        <v>46</v>
      </c>
      <c r="R447" t="s">
        <v>3960</v>
      </c>
      <c r="S447" t="s">
        <v>29</v>
      </c>
      <c r="T447" s="86">
        <v>45421</v>
      </c>
      <c r="U447" t="s">
        <v>14</v>
      </c>
      <c r="V447" t="s">
        <v>3847</v>
      </c>
      <c r="W447" s="88" t="s">
        <v>4034</v>
      </c>
    </row>
    <row r="448" spans="1:23" ht="14.4">
      <c r="A448" s="7" t="s">
        <v>83</v>
      </c>
      <c r="B448" t="s">
        <v>23</v>
      </c>
      <c r="C448" t="s">
        <v>2518</v>
      </c>
      <c r="D448" s="7" t="s">
        <v>764</v>
      </c>
      <c r="E448" s="7" t="s">
        <v>765</v>
      </c>
      <c r="F448" s="7" t="s">
        <v>766</v>
      </c>
      <c r="G448" s="7" t="s">
        <v>2584</v>
      </c>
      <c r="H448" s="85" t="s">
        <v>3405</v>
      </c>
      <c r="I448" s="85" t="s">
        <v>2718</v>
      </c>
      <c r="J448" s="85" t="s">
        <v>3406</v>
      </c>
      <c r="K448" s="85" t="s">
        <v>16</v>
      </c>
      <c r="L448" s="85">
        <v>0</v>
      </c>
      <c r="M448" s="20">
        <f>Table9[[#This Row],[Rate
(Please Select from the list)]]/5</f>
        <v>0</v>
      </c>
      <c r="N448" s="77">
        <v>2.86</v>
      </c>
      <c r="O448" s="74">
        <f>Table9[[#This Row],[Score %]]*Table9[[#This Row],[Item Weight
(Please Select from the list)]]</f>
        <v>0</v>
      </c>
      <c r="P448" s="80">
        <v>3</v>
      </c>
      <c r="Q448" t="s">
        <v>46</v>
      </c>
      <c r="R448"/>
      <c r="S448" t="s">
        <v>3828</v>
      </c>
      <c r="T448"/>
      <c r="U448" t="s">
        <v>45</v>
      </c>
      <c r="V448" t="s">
        <v>3829</v>
      </c>
      <c r="W448" s="88" t="s">
        <v>4034</v>
      </c>
    </row>
    <row r="449" spans="1:23" ht="14.4">
      <c r="A449" s="7" t="s">
        <v>83</v>
      </c>
      <c r="B449" t="s">
        <v>23</v>
      </c>
      <c r="C449" t="s">
        <v>2518</v>
      </c>
      <c r="D449" s="7" t="s">
        <v>767</v>
      </c>
      <c r="E449" s="7" t="s">
        <v>768</v>
      </c>
      <c r="F449" s="7" t="s">
        <v>769</v>
      </c>
      <c r="G449" s="7" t="s">
        <v>2584</v>
      </c>
      <c r="H449" s="85" t="s">
        <v>3407</v>
      </c>
      <c r="I449" s="85" t="s">
        <v>2716</v>
      </c>
      <c r="J449" s="85"/>
      <c r="K449" s="85" t="s">
        <v>47</v>
      </c>
      <c r="L449" s="85">
        <v>4</v>
      </c>
      <c r="M449" s="20">
        <f>Table9[[#This Row],[Rate
(Please Select from the list)]]/5</f>
        <v>0.8</v>
      </c>
      <c r="N449" s="77">
        <v>2.86</v>
      </c>
      <c r="O449" s="74">
        <f>Table9[[#This Row],[Score %]]*Table9[[#This Row],[Item Weight
(Please Select from the list)]]</f>
        <v>2.2879999999999998</v>
      </c>
      <c r="P449" s="80">
        <v>3</v>
      </c>
      <c r="Q449" t="s">
        <v>46</v>
      </c>
      <c r="R449"/>
      <c r="S449" t="s">
        <v>57</v>
      </c>
      <c r="T449"/>
      <c r="U449" t="s">
        <v>58</v>
      </c>
      <c r="V449" t="s">
        <v>3812</v>
      </c>
      <c r="W449" s="88" t="s">
        <v>4034</v>
      </c>
    </row>
    <row r="450" spans="1:23" ht="14.4">
      <c r="A450" s="7" t="s">
        <v>92</v>
      </c>
      <c r="B450" t="s">
        <v>24</v>
      </c>
      <c r="C450" t="s">
        <v>2528</v>
      </c>
      <c r="D450" s="7" t="s">
        <v>770</v>
      </c>
      <c r="E450" s="7" t="s">
        <v>771</v>
      </c>
      <c r="F450" s="7" t="s">
        <v>772</v>
      </c>
      <c r="G450" s="7" t="s">
        <v>2584</v>
      </c>
      <c r="H450" s="85" t="s">
        <v>3408</v>
      </c>
      <c r="I450" s="85" t="s">
        <v>2716</v>
      </c>
      <c r="J450" s="85" t="s">
        <v>3409</v>
      </c>
      <c r="K450" s="85" t="s">
        <v>16</v>
      </c>
      <c r="L450" s="85">
        <v>2</v>
      </c>
      <c r="M450" s="20">
        <f>Table9[[#This Row],[Rate
(Please Select from the list)]]/5</f>
        <v>0.4</v>
      </c>
      <c r="N450" s="77">
        <v>2.86</v>
      </c>
      <c r="O450" s="74">
        <f>Table9[[#This Row],[Score %]]*Table9[[#This Row],[Item Weight
(Please Select from the list)]]</f>
        <v>1.1439999999999999</v>
      </c>
      <c r="P450" s="80">
        <v>3</v>
      </c>
      <c r="Q450" t="s">
        <v>46</v>
      </c>
      <c r="R450" t="s">
        <v>3961</v>
      </c>
      <c r="S450" t="s">
        <v>29</v>
      </c>
      <c r="T450" s="86">
        <v>45421</v>
      </c>
      <c r="U450" t="s">
        <v>14</v>
      </c>
      <c r="V450" t="s">
        <v>3831</v>
      </c>
      <c r="W450" s="88" t="s">
        <v>4034</v>
      </c>
    </row>
    <row r="451" spans="1:23" ht="14.4">
      <c r="A451" s="7" t="s">
        <v>92</v>
      </c>
      <c r="B451" t="s">
        <v>24</v>
      </c>
      <c r="C451" t="s">
        <v>2528</v>
      </c>
      <c r="D451" s="7" t="s">
        <v>773</v>
      </c>
      <c r="E451" s="7" t="s">
        <v>774</v>
      </c>
      <c r="F451" s="7" t="s">
        <v>775</v>
      </c>
      <c r="G451" s="7" t="s">
        <v>2584</v>
      </c>
      <c r="H451" s="85" t="s">
        <v>3410</v>
      </c>
      <c r="I451" s="85" t="s">
        <v>2748</v>
      </c>
      <c r="J451" s="85"/>
      <c r="K451" s="85" t="s">
        <v>855</v>
      </c>
      <c r="L451" s="85">
        <v>5</v>
      </c>
      <c r="M451" s="20">
        <f>Table9[[#This Row],[Rate
(Please Select from the list)]]/5</f>
        <v>1</v>
      </c>
      <c r="N451" s="77">
        <v>2.86</v>
      </c>
      <c r="O451" s="74">
        <f>Table9[[#This Row],[Score %]]*Table9[[#This Row],[Item Weight
(Please Select from the list)]]</f>
        <v>2.86</v>
      </c>
      <c r="P451" s="80">
        <v>3</v>
      </c>
      <c r="Q451" t="s">
        <v>15</v>
      </c>
      <c r="R451"/>
      <c r="S451" t="s">
        <v>57</v>
      </c>
      <c r="T451"/>
      <c r="U451" t="s">
        <v>58</v>
      </c>
      <c r="V451" t="s">
        <v>3851</v>
      </c>
      <c r="W451" s="88" t="s">
        <v>4034</v>
      </c>
    </row>
    <row r="452" spans="1:23" ht="14.4">
      <c r="A452" s="7" t="s">
        <v>92</v>
      </c>
      <c r="B452" t="s">
        <v>24</v>
      </c>
      <c r="C452" t="s">
        <v>2528</v>
      </c>
      <c r="D452" s="7" t="s">
        <v>776</v>
      </c>
      <c r="E452" s="7" t="s">
        <v>777</v>
      </c>
      <c r="F452" s="7" t="s">
        <v>778</v>
      </c>
      <c r="G452" s="7" t="s">
        <v>2584</v>
      </c>
      <c r="H452" s="85" t="s">
        <v>3411</v>
      </c>
      <c r="I452" s="85" t="s">
        <v>2728</v>
      </c>
      <c r="J452" s="85" t="s">
        <v>3412</v>
      </c>
      <c r="K452" s="85" t="s">
        <v>16</v>
      </c>
      <c r="L452" s="85">
        <v>3</v>
      </c>
      <c r="M452" s="20">
        <f>Table9[[#This Row],[Rate
(Please Select from the list)]]/5</f>
        <v>0.6</v>
      </c>
      <c r="N452" s="77">
        <v>2.86</v>
      </c>
      <c r="O452" s="74">
        <f>Table9[[#This Row],[Score %]]*Table9[[#This Row],[Item Weight
(Please Select from the list)]]</f>
        <v>1.716</v>
      </c>
      <c r="P452" s="80">
        <v>3</v>
      </c>
      <c r="Q452" t="s">
        <v>31</v>
      </c>
      <c r="R452" t="s">
        <v>3962</v>
      </c>
      <c r="S452" t="s">
        <v>29</v>
      </c>
      <c r="T452" s="86">
        <v>45421</v>
      </c>
      <c r="U452" t="s">
        <v>14</v>
      </c>
      <c r="V452" t="s">
        <v>3817</v>
      </c>
      <c r="W452" s="88" t="s">
        <v>4034</v>
      </c>
    </row>
    <row r="453" spans="1:23" ht="14.4">
      <c r="A453" s="7" t="s">
        <v>92</v>
      </c>
      <c r="B453" t="s">
        <v>24</v>
      </c>
      <c r="C453" t="s">
        <v>2528</v>
      </c>
      <c r="D453" s="7" t="s">
        <v>779</v>
      </c>
      <c r="E453" s="7" t="s">
        <v>780</v>
      </c>
      <c r="F453" s="7" t="s">
        <v>781</v>
      </c>
      <c r="G453" s="7" t="s">
        <v>2584</v>
      </c>
      <c r="H453" s="85" t="s">
        <v>3413</v>
      </c>
      <c r="I453" s="85" t="s">
        <v>2748</v>
      </c>
      <c r="J453" s="85" t="s">
        <v>3414</v>
      </c>
      <c r="K453" s="85" t="s">
        <v>16</v>
      </c>
      <c r="L453" s="85">
        <v>2</v>
      </c>
      <c r="M453" s="20">
        <f>Table9[[#This Row],[Rate
(Please Select from the list)]]/5</f>
        <v>0.4</v>
      </c>
      <c r="N453" s="77">
        <v>2.86</v>
      </c>
      <c r="O453" s="74">
        <f>Table9[[#This Row],[Score %]]*Table9[[#This Row],[Item Weight
(Please Select from the list)]]</f>
        <v>1.1439999999999999</v>
      </c>
      <c r="P453" s="80">
        <v>3</v>
      </c>
      <c r="Q453" t="s">
        <v>46</v>
      </c>
      <c r="R453" t="s">
        <v>3963</v>
      </c>
      <c r="S453" t="s">
        <v>29</v>
      </c>
      <c r="T453" s="86">
        <v>45421</v>
      </c>
      <c r="U453" t="s">
        <v>30</v>
      </c>
      <c r="V453" t="s">
        <v>3847</v>
      </c>
      <c r="W453" s="88" t="s">
        <v>4034</v>
      </c>
    </row>
    <row r="454" spans="1:23" ht="14.4">
      <c r="A454" s="7" t="s">
        <v>92</v>
      </c>
      <c r="B454" t="s">
        <v>24</v>
      </c>
      <c r="C454" t="s">
        <v>2528</v>
      </c>
      <c r="D454" s="7" t="s">
        <v>782</v>
      </c>
      <c r="E454" s="7" t="s">
        <v>783</v>
      </c>
      <c r="F454" s="7" t="s">
        <v>784</v>
      </c>
      <c r="G454" s="7" t="s">
        <v>2584</v>
      </c>
      <c r="H454" s="85" t="s">
        <v>3415</v>
      </c>
      <c r="I454" s="85" t="s">
        <v>2728</v>
      </c>
      <c r="J454" s="85"/>
      <c r="K454" s="85" t="s">
        <v>855</v>
      </c>
      <c r="L454" s="85">
        <v>4</v>
      </c>
      <c r="M454" s="20">
        <f>Table9[[#This Row],[Rate
(Please Select from the list)]]/5</f>
        <v>0.8</v>
      </c>
      <c r="N454" s="77">
        <v>2.86</v>
      </c>
      <c r="O454" s="74">
        <f>Table9[[#This Row],[Score %]]*Table9[[#This Row],[Item Weight
(Please Select from the list)]]</f>
        <v>2.2879999999999998</v>
      </c>
      <c r="P454" s="80">
        <v>3</v>
      </c>
      <c r="Q454" t="s">
        <v>15</v>
      </c>
      <c r="R454"/>
      <c r="S454" t="s">
        <v>57</v>
      </c>
      <c r="T454"/>
      <c r="U454" t="s">
        <v>58</v>
      </c>
      <c r="V454" t="s">
        <v>3812</v>
      </c>
      <c r="W454" s="88" t="s">
        <v>4034</v>
      </c>
    </row>
    <row r="455" spans="1:23" ht="14.4">
      <c r="A455" s="7" t="s">
        <v>92</v>
      </c>
      <c r="B455" t="s">
        <v>24</v>
      </c>
      <c r="C455" t="s">
        <v>2528</v>
      </c>
      <c r="D455" s="7" t="s">
        <v>785</v>
      </c>
      <c r="E455" s="7" t="s">
        <v>786</v>
      </c>
      <c r="F455" s="7" t="s">
        <v>787</v>
      </c>
      <c r="G455" s="7" t="s">
        <v>2584</v>
      </c>
      <c r="H455" s="85" t="s">
        <v>3416</v>
      </c>
      <c r="I455" s="85" t="s">
        <v>2716</v>
      </c>
      <c r="J455" s="85" t="s">
        <v>3417</v>
      </c>
      <c r="K455" s="85" t="s">
        <v>16</v>
      </c>
      <c r="L455" s="85">
        <v>3</v>
      </c>
      <c r="M455" s="20">
        <f>Table9[[#This Row],[Rate
(Please Select from the list)]]/5</f>
        <v>0.6</v>
      </c>
      <c r="N455" s="77">
        <v>2.86</v>
      </c>
      <c r="O455" s="74">
        <f>Table9[[#This Row],[Score %]]*Table9[[#This Row],[Item Weight
(Please Select from the list)]]</f>
        <v>1.716</v>
      </c>
      <c r="P455" s="80">
        <v>3</v>
      </c>
      <c r="Q455" t="s">
        <v>59</v>
      </c>
      <c r="R455"/>
      <c r="S455" t="s">
        <v>43</v>
      </c>
      <c r="T455"/>
      <c r="U455" t="s">
        <v>58</v>
      </c>
      <c r="V455" t="s">
        <v>3825</v>
      </c>
      <c r="W455" s="88" t="s">
        <v>4034</v>
      </c>
    </row>
    <row r="456" spans="1:23" ht="14.4">
      <c r="A456" s="7" t="s">
        <v>92</v>
      </c>
      <c r="B456" t="s">
        <v>24</v>
      </c>
      <c r="C456" t="s">
        <v>2528</v>
      </c>
      <c r="D456" s="7" t="s">
        <v>788</v>
      </c>
      <c r="E456" s="7" t="s">
        <v>789</v>
      </c>
      <c r="F456" s="7" t="s">
        <v>618</v>
      </c>
      <c r="G456" s="7" t="s">
        <v>2584</v>
      </c>
      <c r="H456" s="85" t="s">
        <v>3418</v>
      </c>
      <c r="I456" s="85" t="s">
        <v>2754</v>
      </c>
      <c r="J456" s="85" t="s">
        <v>3419</v>
      </c>
      <c r="K456" s="85" t="s">
        <v>16</v>
      </c>
      <c r="L456" s="85">
        <v>3</v>
      </c>
      <c r="M456" s="20">
        <f>Table9[[#This Row],[Rate
(Please Select from the list)]]/5</f>
        <v>0.6</v>
      </c>
      <c r="N456" s="77">
        <v>2.86</v>
      </c>
      <c r="O456" s="74">
        <f>Table9[[#This Row],[Score %]]*Table9[[#This Row],[Item Weight
(Please Select from the list)]]</f>
        <v>1.716</v>
      </c>
      <c r="P456" s="80">
        <v>3</v>
      </c>
      <c r="Q456" t="s">
        <v>15</v>
      </c>
      <c r="R456" t="s">
        <v>3964</v>
      </c>
      <c r="S456" t="s">
        <v>43</v>
      </c>
      <c r="T456" t="s">
        <v>3844</v>
      </c>
      <c r="U456" t="s">
        <v>30</v>
      </c>
      <c r="V456" t="s">
        <v>3825</v>
      </c>
      <c r="W456" s="88" t="s">
        <v>4034</v>
      </c>
    </row>
    <row r="457" spans="1:23" ht="14.4">
      <c r="A457" s="7" t="s">
        <v>92</v>
      </c>
      <c r="B457" t="s">
        <v>24</v>
      </c>
      <c r="C457" t="s">
        <v>2528</v>
      </c>
      <c r="D457" s="7" t="s">
        <v>790</v>
      </c>
      <c r="E457" s="7" t="s">
        <v>791</v>
      </c>
      <c r="F457" s="7" t="s">
        <v>792</v>
      </c>
      <c r="G457" s="7" t="s">
        <v>2584</v>
      </c>
      <c r="H457" s="85" t="s">
        <v>3420</v>
      </c>
      <c r="I457" s="85" t="s">
        <v>2739</v>
      </c>
      <c r="J457" s="85" t="s">
        <v>3421</v>
      </c>
      <c r="K457" s="85" t="s">
        <v>16</v>
      </c>
      <c r="L457" s="85">
        <v>3</v>
      </c>
      <c r="M457" s="20">
        <f>Table9[[#This Row],[Rate
(Please Select from the list)]]/5</f>
        <v>0.6</v>
      </c>
      <c r="N457" s="77">
        <v>2.86</v>
      </c>
      <c r="O457" s="74">
        <f>Table9[[#This Row],[Score %]]*Table9[[#This Row],[Item Weight
(Please Select from the list)]]</f>
        <v>1.716</v>
      </c>
      <c r="P457" s="80">
        <v>3</v>
      </c>
      <c r="Q457" t="s">
        <v>3852</v>
      </c>
      <c r="R457" t="s">
        <v>3965</v>
      </c>
      <c r="S457" t="s">
        <v>29</v>
      </c>
      <c r="T457" s="86">
        <v>45421</v>
      </c>
      <c r="U457" t="s">
        <v>14</v>
      </c>
      <c r="V457" t="s">
        <v>3813</v>
      </c>
      <c r="W457" s="88" t="s">
        <v>4034</v>
      </c>
    </row>
    <row r="458" spans="1:23" ht="14.4">
      <c r="A458" s="7" t="s">
        <v>92</v>
      </c>
      <c r="B458" t="s">
        <v>24</v>
      </c>
      <c r="C458" t="s">
        <v>2528</v>
      </c>
      <c r="D458" s="7" t="s">
        <v>793</v>
      </c>
      <c r="E458" s="7" t="s">
        <v>794</v>
      </c>
      <c r="F458" s="7" t="s">
        <v>795</v>
      </c>
      <c r="G458" s="7" t="s">
        <v>2584</v>
      </c>
      <c r="H458" s="85" t="s">
        <v>3422</v>
      </c>
      <c r="I458" s="85" t="s">
        <v>2731</v>
      </c>
      <c r="J458" s="85"/>
      <c r="K458" s="85" t="s">
        <v>47</v>
      </c>
      <c r="L458" s="85">
        <v>4</v>
      </c>
      <c r="M458" s="20">
        <f>Table9[[#This Row],[Rate
(Please Select from the list)]]/5</f>
        <v>0.8</v>
      </c>
      <c r="N458" s="77">
        <v>2.86</v>
      </c>
      <c r="O458" s="74">
        <f>Table9[[#This Row],[Score %]]*Table9[[#This Row],[Item Weight
(Please Select from the list)]]</f>
        <v>2.2879999999999998</v>
      </c>
      <c r="P458" s="80">
        <v>3</v>
      </c>
      <c r="Q458" t="s">
        <v>31</v>
      </c>
      <c r="R458"/>
      <c r="S458" t="s">
        <v>57</v>
      </c>
      <c r="T458"/>
      <c r="U458" t="s">
        <v>44</v>
      </c>
      <c r="V458" t="s">
        <v>3812</v>
      </c>
      <c r="W458" s="88" t="s">
        <v>4034</v>
      </c>
    </row>
    <row r="459" spans="1:23" ht="14.4">
      <c r="A459" s="7" t="s">
        <v>92</v>
      </c>
      <c r="B459" t="s">
        <v>24</v>
      </c>
      <c r="C459" t="s">
        <v>2528</v>
      </c>
      <c r="D459" s="7" t="s">
        <v>796</v>
      </c>
      <c r="E459" s="7" t="s">
        <v>797</v>
      </c>
      <c r="F459" s="7" t="s">
        <v>798</v>
      </c>
      <c r="G459" s="7" t="s">
        <v>2584</v>
      </c>
      <c r="H459" s="85" t="s">
        <v>3423</v>
      </c>
      <c r="I459" s="85" t="s">
        <v>2716</v>
      </c>
      <c r="J459" s="85" t="s">
        <v>3424</v>
      </c>
      <c r="K459" s="85" t="s">
        <v>16</v>
      </c>
      <c r="L459" s="85">
        <v>2</v>
      </c>
      <c r="M459" s="20">
        <f>Table9[[#This Row],[Rate
(Please Select from the list)]]/5</f>
        <v>0.4</v>
      </c>
      <c r="N459" s="77">
        <v>2.86</v>
      </c>
      <c r="O459" s="74">
        <f>Table9[[#This Row],[Score %]]*Table9[[#This Row],[Item Weight
(Please Select from the list)]]</f>
        <v>1.1439999999999999</v>
      </c>
      <c r="P459" s="80">
        <v>3</v>
      </c>
      <c r="Q459" t="s">
        <v>46</v>
      </c>
      <c r="R459" t="s">
        <v>3966</v>
      </c>
      <c r="S459" t="s">
        <v>29</v>
      </c>
      <c r="T459" s="86">
        <v>45421</v>
      </c>
      <c r="U459" t="s">
        <v>14</v>
      </c>
      <c r="V459" t="s">
        <v>3847</v>
      </c>
      <c r="W459" s="88" t="s">
        <v>4034</v>
      </c>
    </row>
    <row r="460" spans="1:23" ht="14.4">
      <c r="A460" s="7" t="s">
        <v>92</v>
      </c>
      <c r="B460" t="s">
        <v>24</v>
      </c>
      <c r="C460" t="s">
        <v>2528</v>
      </c>
      <c r="D460" s="7" t="s">
        <v>799</v>
      </c>
      <c r="E460" s="7" t="s">
        <v>800</v>
      </c>
      <c r="F460" s="7" t="s">
        <v>801</v>
      </c>
      <c r="G460" s="7" t="s">
        <v>2584</v>
      </c>
      <c r="H460" s="85" t="s">
        <v>3425</v>
      </c>
      <c r="I460" s="85" t="s">
        <v>2731</v>
      </c>
      <c r="J460" s="85" t="s">
        <v>3426</v>
      </c>
      <c r="K460" s="85" t="s">
        <v>16</v>
      </c>
      <c r="L460" s="85">
        <v>3</v>
      </c>
      <c r="M460" s="20">
        <f>Table9[[#This Row],[Rate
(Please Select from the list)]]/5</f>
        <v>0.6</v>
      </c>
      <c r="N460" s="77">
        <v>2.86</v>
      </c>
      <c r="O460" s="74">
        <f>Table9[[#This Row],[Score %]]*Table9[[#This Row],[Item Weight
(Please Select from the list)]]</f>
        <v>1.716</v>
      </c>
      <c r="P460" s="80">
        <v>3</v>
      </c>
      <c r="Q460" t="s">
        <v>59</v>
      </c>
      <c r="R460" t="s">
        <v>3967</v>
      </c>
      <c r="S460" t="s">
        <v>29</v>
      </c>
      <c r="T460" s="86">
        <v>45421</v>
      </c>
      <c r="U460" t="s">
        <v>14</v>
      </c>
      <c r="V460" t="s">
        <v>3813</v>
      </c>
      <c r="W460" s="88" t="s">
        <v>4034</v>
      </c>
    </row>
    <row r="461" spans="1:23" ht="14.4">
      <c r="A461" s="7" t="s">
        <v>92</v>
      </c>
      <c r="B461" t="s">
        <v>24</v>
      </c>
      <c r="C461" t="s">
        <v>2528</v>
      </c>
      <c r="D461" s="7" t="s">
        <v>802</v>
      </c>
      <c r="E461" s="7" t="s">
        <v>803</v>
      </c>
      <c r="F461" s="7" t="s">
        <v>804</v>
      </c>
      <c r="G461" s="7" t="s">
        <v>2584</v>
      </c>
      <c r="H461" s="85" t="s">
        <v>3427</v>
      </c>
      <c r="I461" s="85" t="s">
        <v>2718</v>
      </c>
      <c r="J461" s="85" t="s">
        <v>3428</v>
      </c>
      <c r="K461" s="85" t="s">
        <v>16</v>
      </c>
      <c r="L461" s="85">
        <v>3</v>
      </c>
      <c r="M461" s="20">
        <f>Table9[[#This Row],[Rate
(Please Select from the list)]]/5</f>
        <v>0.6</v>
      </c>
      <c r="N461" s="77">
        <v>2.86</v>
      </c>
      <c r="O461" s="74">
        <f>Table9[[#This Row],[Score %]]*Table9[[#This Row],[Item Weight
(Please Select from the list)]]</f>
        <v>1.716</v>
      </c>
      <c r="P461" s="80">
        <v>3</v>
      </c>
      <c r="Q461" t="s">
        <v>31</v>
      </c>
      <c r="R461"/>
      <c r="S461" t="s">
        <v>43</v>
      </c>
      <c r="T461"/>
      <c r="U461" t="s">
        <v>58</v>
      </c>
      <c r="V461" t="s">
        <v>3825</v>
      </c>
      <c r="W461" s="88" t="s">
        <v>4034</v>
      </c>
    </row>
    <row r="462" spans="1:23" ht="14.4">
      <c r="A462" s="7" t="s">
        <v>92</v>
      </c>
      <c r="B462" t="s">
        <v>24</v>
      </c>
      <c r="C462" t="s">
        <v>2528</v>
      </c>
      <c r="D462" s="7" t="s">
        <v>805</v>
      </c>
      <c r="E462" s="7" t="s">
        <v>806</v>
      </c>
      <c r="F462" s="7" t="s">
        <v>807</v>
      </c>
      <c r="G462" s="7" t="s">
        <v>2584</v>
      </c>
      <c r="H462" s="85" t="s">
        <v>3429</v>
      </c>
      <c r="I462" s="85" t="s">
        <v>2739</v>
      </c>
      <c r="J462" s="85" t="s">
        <v>3430</v>
      </c>
      <c r="K462" s="85" t="s">
        <v>16</v>
      </c>
      <c r="L462" s="85">
        <v>3</v>
      </c>
      <c r="M462" s="20">
        <f>Table9[[#This Row],[Rate
(Please Select from the list)]]/5</f>
        <v>0.6</v>
      </c>
      <c r="N462" s="77">
        <v>2.86</v>
      </c>
      <c r="O462" s="74">
        <f>Table9[[#This Row],[Score %]]*Table9[[#This Row],[Item Weight
(Please Select from the list)]]</f>
        <v>1.716</v>
      </c>
      <c r="P462" s="80">
        <v>3</v>
      </c>
      <c r="Q462" t="s">
        <v>15</v>
      </c>
      <c r="R462"/>
      <c r="S462" t="s">
        <v>43</v>
      </c>
      <c r="T462"/>
      <c r="U462" t="s">
        <v>44</v>
      </c>
      <c r="V462" t="s">
        <v>3825</v>
      </c>
      <c r="W462" s="88" t="s">
        <v>4034</v>
      </c>
    </row>
    <row r="463" spans="1:23" ht="14.4">
      <c r="A463" s="7" t="s">
        <v>92</v>
      </c>
      <c r="B463" t="s">
        <v>24</v>
      </c>
      <c r="C463" t="s">
        <v>2528</v>
      </c>
      <c r="D463" s="7" t="s">
        <v>808</v>
      </c>
      <c r="E463" s="7" t="s">
        <v>809</v>
      </c>
      <c r="F463" s="7" t="s">
        <v>727</v>
      </c>
      <c r="G463" s="7" t="s">
        <v>2584</v>
      </c>
      <c r="H463" s="85" t="s">
        <v>3431</v>
      </c>
      <c r="I463" s="85" t="s">
        <v>2748</v>
      </c>
      <c r="J463" s="85"/>
      <c r="K463" s="85" t="s">
        <v>47</v>
      </c>
      <c r="L463" s="85">
        <v>4</v>
      </c>
      <c r="M463" s="20">
        <f>Table9[[#This Row],[Rate
(Please Select from the list)]]/5</f>
        <v>0.8</v>
      </c>
      <c r="N463" s="77">
        <v>2.86</v>
      </c>
      <c r="O463" s="74">
        <f>Table9[[#This Row],[Score %]]*Table9[[#This Row],[Item Weight
(Please Select from the list)]]</f>
        <v>2.2879999999999998</v>
      </c>
      <c r="P463" s="80">
        <v>3</v>
      </c>
      <c r="Q463" t="s">
        <v>59</v>
      </c>
      <c r="R463"/>
      <c r="S463" t="s">
        <v>43</v>
      </c>
      <c r="T463"/>
      <c r="U463" t="s">
        <v>44</v>
      </c>
      <c r="V463" t="s">
        <v>3812</v>
      </c>
      <c r="W463" s="88" t="s">
        <v>4034</v>
      </c>
    </row>
    <row r="464" spans="1:23" ht="14.4">
      <c r="A464" s="7" t="s">
        <v>92</v>
      </c>
      <c r="B464" t="s">
        <v>24</v>
      </c>
      <c r="C464" t="s">
        <v>2528</v>
      </c>
      <c r="D464" s="7" t="s">
        <v>810</v>
      </c>
      <c r="E464" s="7" t="s">
        <v>811</v>
      </c>
      <c r="F464" s="7" t="s">
        <v>653</v>
      </c>
      <c r="G464" s="7" t="s">
        <v>2584</v>
      </c>
      <c r="H464" s="85" t="s">
        <v>3432</v>
      </c>
      <c r="I464" s="85" t="s">
        <v>2728</v>
      </c>
      <c r="J464" s="85" t="s">
        <v>3433</v>
      </c>
      <c r="K464" s="85" t="s">
        <v>16</v>
      </c>
      <c r="L464" s="85">
        <v>2</v>
      </c>
      <c r="M464" s="20">
        <f>Table9[[#This Row],[Rate
(Please Select from the list)]]/5</f>
        <v>0.4</v>
      </c>
      <c r="N464" s="77">
        <v>2.86</v>
      </c>
      <c r="O464" s="74">
        <f>Table9[[#This Row],[Score %]]*Table9[[#This Row],[Item Weight
(Please Select from the list)]]</f>
        <v>1.1439999999999999</v>
      </c>
      <c r="P464" s="80">
        <v>3</v>
      </c>
      <c r="Q464" t="s">
        <v>15</v>
      </c>
      <c r="R464" t="s">
        <v>3968</v>
      </c>
      <c r="S464" t="s">
        <v>29</v>
      </c>
      <c r="T464" s="86">
        <v>45421</v>
      </c>
      <c r="U464" t="s">
        <v>30</v>
      </c>
      <c r="V464" t="s">
        <v>3831</v>
      </c>
      <c r="W464" s="88" t="s">
        <v>4034</v>
      </c>
    </row>
    <row r="465" spans="1:23" ht="14.4">
      <c r="A465" s="7" t="s">
        <v>92</v>
      </c>
      <c r="B465" t="s">
        <v>24</v>
      </c>
      <c r="C465" t="s">
        <v>2528</v>
      </c>
      <c r="D465" s="7" t="s">
        <v>812</v>
      </c>
      <c r="E465" s="7" t="s">
        <v>530</v>
      </c>
      <c r="F465" s="7" t="s">
        <v>655</v>
      </c>
      <c r="G465" s="7" t="s">
        <v>2584</v>
      </c>
      <c r="H465" s="85" t="s">
        <v>3434</v>
      </c>
      <c r="I465" s="85" t="s">
        <v>2739</v>
      </c>
      <c r="J465" s="85"/>
      <c r="K465" s="85" t="s">
        <v>855</v>
      </c>
      <c r="L465" s="85">
        <v>4</v>
      </c>
      <c r="M465" s="20">
        <f>Table9[[#This Row],[Rate
(Please Select from the list)]]/5</f>
        <v>0.8</v>
      </c>
      <c r="N465" s="77">
        <v>2.86</v>
      </c>
      <c r="O465" s="74">
        <f>Table9[[#This Row],[Score %]]*Table9[[#This Row],[Item Weight
(Please Select from the list)]]</f>
        <v>2.2879999999999998</v>
      </c>
      <c r="P465" s="80">
        <v>3</v>
      </c>
      <c r="Q465" t="s">
        <v>46</v>
      </c>
      <c r="R465"/>
      <c r="S465" t="s">
        <v>57</v>
      </c>
      <c r="T465"/>
      <c r="U465" t="s">
        <v>44</v>
      </c>
      <c r="V465" t="s">
        <v>3812</v>
      </c>
      <c r="W465" s="88" t="s">
        <v>4034</v>
      </c>
    </row>
    <row r="466" spans="1:23" ht="14.4">
      <c r="A466" s="7" t="s">
        <v>92</v>
      </c>
      <c r="B466" t="s">
        <v>24</v>
      </c>
      <c r="C466" t="s">
        <v>2528</v>
      </c>
      <c r="D466" s="7" t="s">
        <v>813</v>
      </c>
      <c r="E466" s="7" t="s">
        <v>732</v>
      </c>
      <c r="F466" s="7" t="s">
        <v>733</v>
      </c>
      <c r="G466" s="7" t="s">
        <v>2584</v>
      </c>
      <c r="H466" s="85" t="s">
        <v>3435</v>
      </c>
      <c r="I466" s="85" t="s">
        <v>2731</v>
      </c>
      <c r="J466" s="85"/>
      <c r="K466" s="85" t="s">
        <v>47</v>
      </c>
      <c r="L466" s="85">
        <v>4</v>
      </c>
      <c r="M466" s="20">
        <f>Table9[[#This Row],[Rate
(Please Select from the list)]]/5</f>
        <v>0.8</v>
      </c>
      <c r="N466" s="77">
        <v>2.86</v>
      </c>
      <c r="O466" s="74">
        <f>Table9[[#This Row],[Score %]]*Table9[[#This Row],[Item Weight
(Please Select from the list)]]</f>
        <v>2.2879999999999998</v>
      </c>
      <c r="P466" s="80">
        <v>3</v>
      </c>
      <c r="Q466" t="s">
        <v>59</v>
      </c>
      <c r="R466"/>
      <c r="S466" t="s">
        <v>57</v>
      </c>
      <c r="T466"/>
      <c r="U466" t="s">
        <v>58</v>
      </c>
      <c r="V466" t="s">
        <v>3812</v>
      </c>
      <c r="W466" s="88" t="s">
        <v>4034</v>
      </c>
    </row>
    <row r="467" spans="1:23" ht="14.4">
      <c r="A467" s="7" t="s">
        <v>92</v>
      </c>
      <c r="B467" t="s">
        <v>24</v>
      </c>
      <c r="C467" t="s">
        <v>2528</v>
      </c>
      <c r="D467" s="7" t="s">
        <v>814</v>
      </c>
      <c r="E467" s="7" t="s">
        <v>815</v>
      </c>
      <c r="F467" s="7" t="s">
        <v>736</v>
      </c>
      <c r="G467" s="7" t="s">
        <v>2584</v>
      </c>
      <c r="H467" s="85" t="s">
        <v>3436</v>
      </c>
      <c r="I467" s="85" t="s">
        <v>2739</v>
      </c>
      <c r="J467" s="85"/>
      <c r="K467" s="85" t="s">
        <v>47</v>
      </c>
      <c r="L467" s="85">
        <v>4</v>
      </c>
      <c r="M467" s="20">
        <f>Table9[[#This Row],[Rate
(Please Select from the list)]]/5</f>
        <v>0.8</v>
      </c>
      <c r="N467" s="77">
        <v>2.86</v>
      </c>
      <c r="O467" s="74">
        <f>Table9[[#This Row],[Score %]]*Table9[[#This Row],[Item Weight
(Please Select from the list)]]</f>
        <v>2.2879999999999998</v>
      </c>
      <c r="P467" s="80">
        <v>3</v>
      </c>
      <c r="Q467" t="s">
        <v>46</v>
      </c>
      <c r="R467"/>
      <c r="S467" t="s">
        <v>57</v>
      </c>
      <c r="T467"/>
      <c r="U467" t="s">
        <v>44</v>
      </c>
      <c r="V467" t="s">
        <v>3812</v>
      </c>
      <c r="W467" s="88" t="s">
        <v>4034</v>
      </c>
    </row>
    <row r="468" spans="1:23" ht="14.4">
      <c r="A468" s="7" t="s">
        <v>92</v>
      </c>
      <c r="B468" t="s">
        <v>24</v>
      </c>
      <c r="C468" t="s">
        <v>2528</v>
      </c>
      <c r="D468" s="7" t="s">
        <v>816</v>
      </c>
      <c r="E468" s="7" t="s">
        <v>765</v>
      </c>
      <c r="F468" s="7" t="s">
        <v>766</v>
      </c>
      <c r="G468" s="7" t="s">
        <v>2584</v>
      </c>
      <c r="H468" s="85" t="s">
        <v>3437</v>
      </c>
      <c r="I468" s="85" t="s">
        <v>2795</v>
      </c>
      <c r="J468" s="85" t="s">
        <v>3438</v>
      </c>
      <c r="K468" s="85" t="s">
        <v>16</v>
      </c>
      <c r="L468" s="85">
        <v>3</v>
      </c>
      <c r="M468" s="20">
        <f>Table9[[#This Row],[Rate
(Please Select from the list)]]/5</f>
        <v>0.6</v>
      </c>
      <c r="N468" s="77">
        <v>2.86</v>
      </c>
      <c r="O468" s="74">
        <f>Table9[[#This Row],[Score %]]*Table9[[#This Row],[Item Weight
(Please Select from the list)]]</f>
        <v>1.716</v>
      </c>
      <c r="P468" s="80">
        <v>3</v>
      </c>
      <c r="Q468" t="s">
        <v>59</v>
      </c>
      <c r="R468"/>
      <c r="S468" t="s">
        <v>43</v>
      </c>
      <c r="T468"/>
      <c r="U468" t="s">
        <v>44</v>
      </c>
      <c r="V468" t="s">
        <v>3817</v>
      </c>
      <c r="W468" s="88" t="s">
        <v>4034</v>
      </c>
    </row>
    <row r="469" spans="1:23" ht="14.4">
      <c r="A469" s="7" t="s">
        <v>92</v>
      </c>
      <c r="B469" t="s">
        <v>24</v>
      </c>
      <c r="C469" t="s">
        <v>2528</v>
      </c>
      <c r="D469" s="7" t="s">
        <v>817</v>
      </c>
      <c r="E469" s="7" t="s">
        <v>818</v>
      </c>
      <c r="F469" s="7" t="s">
        <v>819</v>
      </c>
      <c r="G469" s="7" t="s">
        <v>2584</v>
      </c>
      <c r="H469" s="85" t="s">
        <v>3439</v>
      </c>
      <c r="I469" s="85" t="s">
        <v>2728</v>
      </c>
      <c r="J469" s="85" t="s">
        <v>3440</v>
      </c>
      <c r="K469" s="85" t="s">
        <v>16</v>
      </c>
      <c r="L469" s="85">
        <v>2</v>
      </c>
      <c r="M469" s="20">
        <f>Table9[[#This Row],[Rate
(Please Select from the list)]]/5</f>
        <v>0.4</v>
      </c>
      <c r="N469" s="77">
        <v>2.86</v>
      </c>
      <c r="O469" s="74">
        <f>Table9[[#This Row],[Score %]]*Table9[[#This Row],[Item Weight
(Please Select from the list)]]</f>
        <v>1.1439999999999999</v>
      </c>
      <c r="P469" s="80">
        <v>3</v>
      </c>
      <c r="Q469" t="s">
        <v>46</v>
      </c>
      <c r="R469" t="s">
        <v>3969</v>
      </c>
      <c r="S469" t="s">
        <v>29</v>
      </c>
      <c r="T469" s="86">
        <v>45421</v>
      </c>
      <c r="U469" t="s">
        <v>30</v>
      </c>
      <c r="V469" t="s">
        <v>3859</v>
      </c>
      <c r="W469" s="88" t="s">
        <v>4034</v>
      </c>
    </row>
    <row r="470" spans="1:23" ht="14.4">
      <c r="A470" s="7" t="s">
        <v>92</v>
      </c>
      <c r="B470" t="s">
        <v>24</v>
      </c>
      <c r="C470" t="s">
        <v>2528</v>
      </c>
      <c r="D470" s="7" t="s">
        <v>820</v>
      </c>
      <c r="E470" s="7" t="s">
        <v>821</v>
      </c>
      <c r="F470" s="7" t="s">
        <v>822</v>
      </c>
      <c r="G470" s="7" t="s">
        <v>2584</v>
      </c>
      <c r="H470" s="85" t="s">
        <v>3441</v>
      </c>
      <c r="I470" s="85" t="s">
        <v>2716</v>
      </c>
      <c r="J470" s="85" t="s">
        <v>3442</v>
      </c>
      <c r="K470" s="85" t="s">
        <v>16</v>
      </c>
      <c r="L470" s="85">
        <v>3</v>
      </c>
      <c r="M470" s="20">
        <f>Table9[[#This Row],[Rate
(Please Select from the list)]]/5</f>
        <v>0.6</v>
      </c>
      <c r="N470" s="77">
        <v>2.86</v>
      </c>
      <c r="O470" s="74">
        <f>Table9[[#This Row],[Score %]]*Table9[[#This Row],[Item Weight
(Please Select from the list)]]</f>
        <v>1.716</v>
      </c>
      <c r="P470" s="80">
        <v>3</v>
      </c>
      <c r="Q470" t="s">
        <v>46</v>
      </c>
      <c r="R470" t="s">
        <v>3970</v>
      </c>
      <c r="S470" t="s">
        <v>29</v>
      </c>
      <c r="T470" s="86">
        <v>45421</v>
      </c>
      <c r="U470" t="s">
        <v>14</v>
      </c>
      <c r="V470" t="s">
        <v>3817</v>
      </c>
      <c r="W470" s="88" t="s">
        <v>4034</v>
      </c>
    </row>
    <row r="471" spans="1:23" ht="14.4">
      <c r="A471" s="7" t="s">
        <v>92</v>
      </c>
      <c r="B471" t="s">
        <v>24</v>
      </c>
      <c r="C471" t="s">
        <v>2528</v>
      </c>
      <c r="D471" s="7" t="s">
        <v>823</v>
      </c>
      <c r="E471" s="7" t="s">
        <v>824</v>
      </c>
      <c r="F471" s="7" t="s">
        <v>825</v>
      </c>
      <c r="G471" s="7" t="s">
        <v>2584</v>
      </c>
      <c r="H471" s="85" t="s">
        <v>3443</v>
      </c>
      <c r="I471" s="85" t="s">
        <v>2716</v>
      </c>
      <c r="J471" s="85" t="s">
        <v>3444</v>
      </c>
      <c r="K471" s="85" t="s">
        <v>16</v>
      </c>
      <c r="L471" s="85">
        <v>3</v>
      </c>
      <c r="M471" s="20">
        <f>Table9[[#This Row],[Rate
(Please Select from the list)]]/5</f>
        <v>0.6</v>
      </c>
      <c r="N471" s="77">
        <v>2.86</v>
      </c>
      <c r="O471" s="74">
        <f>Table9[[#This Row],[Score %]]*Table9[[#This Row],[Item Weight
(Please Select from the list)]]</f>
        <v>1.716</v>
      </c>
      <c r="P471" s="80">
        <v>3</v>
      </c>
      <c r="Q471" t="s">
        <v>15</v>
      </c>
      <c r="R471"/>
      <c r="S471" t="s">
        <v>43</v>
      </c>
      <c r="T471"/>
      <c r="U471" t="s">
        <v>44</v>
      </c>
      <c r="V471" t="s">
        <v>3817</v>
      </c>
      <c r="W471" s="88" t="s">
        <v>4034</v>
      </c>
    </row>
    <row r="472" spans="1:23" ht="14.4">
      <c r="A472" s="7" t="s">
        <v>92</v>
      </c>
      <c r="B472" t="s">
        <v>24</v>
      </c>
      <c r="C472" t="s">
        <v>2528</v>
      </c>
      <c r="D472" s="7" t="s">
        <v>826</v>
      </c>
      <c r="E472" s="7" t="s">
        <v>827</v>
      </c>
      <c r="F472" s="7" t="s">
        <v>828</v>
      </c>
      <c r="G472" s="7" t="s">
        <v>2584</v>
      </c>
      <c r="H472" s="85" t="s">
        <v>3445</v>
      </c>
      <c r="I472" s="85" t="s">
        <v>2748</v>
      </c>
      <c r="J472" s="85"/>
      <c r="K472" s="85" t="s">
        <v>16</v>
      </c>
      <c r="L472" s="85">
        <v>4</v>
      </c>
      <c r="M472" s="20">
        <f>Table9[[#This Row],[Rate
(Please Select from the list)]]/5</f>
        <v>0.8</v>
      </c>
      <c r="N472" s="77">
        <v>2.86</v>
      </c>
      <c r="O472" s="74">
        <f>Table9[[#This Row],[Score %]]*Table9[[#This Row],[Item Weight
(Please Select from the list)]]</f>
        <v>2.2879999999999998</v>
      </c>
      <c r="P472" s="80">
        <v>3</v>
      </c>
      <c r="Q472" t="s">
        <v>15</v>
      </c>
      <c r="R472"/>
      <c r="S472" t="s">
        <v>57</v>
      </c>
      <c r="T472"/>
      <c r="U472" t="s">
        <v>58</v>
      </c>
      <c r="V472" t="s">
        <v>3812</v>
      </c>
      <c r="W472" s="88" t="s">
        <v>4034</v>
      </c>
    </row>
    <row r="473" spans="1:23" ht="14.4">
      <c r="A473" s="7" t="s">
        <v>92</v>
      </c>
      <c r="B473" t="s">
        <v>24</v>
      </c>
      <c r="C473" t="s">
        <v>2528</v>
      </c>
      <c r="D473" s="7" t="s">
        <v>829</v>
      </c>
      <c r="E473" s="7" t="s">
        <v>830</v>
      </c>
      <c r="F473" s="7" t="s">
        <v>831</v>
      </c>
      <c r="G473" s="7" t="s">
        <v>2584</v>
      </c>
      <c r="H473" s="85" t="s">
        <v>3446</v>
      </c>
      <c r="I473" s="85" t="s">
        <v>2725</v>
      </c>
      <c r="J473" s="85" t="s">
        <v>3447</v>
      </c>
      <c r="K473" s="85" t="s">
        <v>16</v>
      </c>
      <c r="L473" s="85">
        <v>3</v>
      </c>
      <c r="M473" s="20">
        <f>Table9[[#This Row],[Rate
(Please Select from the list)]]/5</f>
        <v>0.6</v>
      </c>
      <c r="N473" s="77">
        <v>2.86</v>
      </c>
      <c r="O473" s="74">
        <f>Table9[[#This Row],[Score %]]*Table9[[#This Row],[Item Weight
(Please Select from the list)]]</f>
        <v>1.716</v>
      </c>
      <c r="P473" s="80">
        <v>3</v>
      </c>
      <c r="Q473" t="s">
        <v>59</v>
      </c>
      <c r="R473" t="s">
        <v>3971</v>
      </c>
      <c r="S473" t="s">
        <v>29</v>
      </c>
      <c r="T473" s="86">
        <v>45421</v>
      </c>
      <c r="U473" t="s">
        <v>30</v>
      </c>
      <c r="V473" t="s">
        <v>3839</v>
      </c>
      <c r="W473" s="88" t="s">
        <v>4034</v>
      </c>
    </row>
    <row r="474" spans="1:23" ht="14.4">
      <c r="A474" s="7" t="s">
        <v>92</v>
      </c>
      <c r="B474" t="s">
        <v>24</v>
      </c>
      <c r="C474" t="s">
        <v>2528</v>
      </c>
      <c r="D474" s="7" t="s">
        <v>832</v>
      </c>
      <c r="E474" s="7" t="s">
        <v>833</v>
      </c>
      <c r="F474" s="7" t="s">
        <v>834</v>
      </c>
      <c r="G474" s="7" t="s">
        <v>2584</v>
      </c>
      <c r="H474" s="85" t="s">
        <v>3448</v>
      </c>
      <c r="I474" s="85" t="s">
        <v>2736</v>
      </c>
      <c r="J474" s="85" t="s">
        <v>3449</v>
      </c>
      <c r="K474" s="85" t="s">
        <v>16</v>
      </c>
      <c r="L474" s="85">
        <v>2</v>
      </c>
      <c r="M474" s="20">
        <f>Table9[[#This Row],[Rate
(Please Select from the list)]]/5</f>
        <v>0.4</v>
      </c>
      <c r="N474" s="77">
        <v>2.86</v>
      </c>
      <c r="O474" s="74">
        <f>Table9[[#This Row],[Score %]]*Table9[[#This Row],[Item Weight
(Please Select from the list)]]</f>
        <v>1.1439999999999999</v>
      </c>
      <c r="P474" s="80">
        <v>3</v>
      </c>
      <c r="Q474" t="s">
        <v>46</v>
      </c>
      <c r="R474"/>
      <c r="S474" t="s">
        <v>29</v>
      </c>
      <c r="T474"/>
      <c r="U474" t="s">
        <v>44</v>
      </c>
      <c r="V474" t="s">
        <v>3847</v>
      </c>
      <c r="W474" s="88" t="s">
        <v>4034</v>
      </c>
    </row>
    <row r="475" spans="1:23" ht="14.4">
      <c r="A475" s="7" t="s">
        <v>92</v>
      </c>
      <c r="B475" t="s">
        <v>24</v>
      </c>
      <c r="C475" t="s">
        <v>2528</v>
      </c>
      <c r="D475" s="7" t="s">
        <v>835</v>
      </c>
      <c r="E475" s="7" t="s">
        <v>836</v>
      </c>
      <c r="F475" s="7" t="s">
        <v>837</v>
      </c>
      <c r="G475" s="7" t="s">
        <v>2584</v>
      </c>
      <c r="H475" s="85" t="s">
        <v>3450</v>
      </c>
      <c r="I475" s="85" t="s">
        <v>2731</v>
      </c>
      <c r="J475" s="85" t="s">
        <v>3451</v>
      </c>
      <c r="K475" s="85" t="s">
        <v>16</v>
      </c>
      <c r="L475" s="85">
        <v>3</v>
      </c>
      <c r="M475" s="20">
        <f>Table9[[#This Row],[Rate
(Please Select from the list)]]/5</f>
        <v>0.6</v>
      </c>
      <c r="N475" s="77">
        <v>2.86</v>
      </c>
      <c r="O475" s="74">
        <f>Table9[[#This Row],[Score %]]*Table9[[#This Row],[Item Weight
(Please Select from the list)]]</f>
        <v>1.716</v>
      </c>
      <c r="P475" s="80">
        <v>3</v>
      </c>
      <c r="Q475" t="s">
        <v>31</v>
      </c>
      <c r="R475"/>
      <c r="S475" t="s">
        <v>43</v>
      </c>
      <c r="T475"/>
      <c r="U475" t="s">
        <v>44</v>
      </c>
      <c r="V475" t="s">
        <v>3813</v>
      </c>
      <c r="W475" s="88" t="s">
        <v>4034</v>
      </c>
    </row>
    <row r="476" spans="1:23" ht="14.4">
      <c r="A476" s="7" t="s">
        <v>92</v>
      </c>
      <c r="B476" t="s">
        <v>24</v>
      </c>
      <c r="C476" t="s">
        <v>2528</v>
      </c>
      <c r="D476" s="7" t="s">
        <v>838</v>
      </c>
      <c r="E476" s="7" t="s">
        <v>839</v>
      </c>
      <c r="F476" s="7" t="s">
        <v>840</v>
      </c>
      <c r="G476" s="7" t="s">
        <v>2584</v>
      </c>
      <c r="H476" s="85" t="s">
        <v>3452</v>
      </c>
      <c r="I476" s="85" t="s">
        <v>2716</v>
      </c>
      <c r="J476" s="85" t="s">
        <v>3453</v>
      </c>
      <c r="K476" s="85" t="s">
        <v>16</v>
      </c>
      <c r="L476" s="85">
        <v>3</v>
      </c>
      <c r="M476" s="20">
        <f>Table9[[#This Row],[Rate
(Please Select from the list)]]/5</f>
        <v>0.6</v>
      </c>
      <c r="N476" s="77">
        <v>2.86</v>
      </c>
      <c r="O476" s="74">
        <f>Table9[[#This Row],[Score %]]*Table9[[#This Row],[Item Weight
(Please Select from the list)]]</f>
        <v>1.716</v>
      </c>
      <c r="P476" s="80">
        <v>3</v>
      </c>
      <c r="Q476" t="s">
        <v>15</v>
      </c>
      <c r="R476"/>
      <c r="S476" t="s">
        <v>43</v>
      </c>
      <c r="T476"/>
      <c r="U476" t="s">
        <v>58</v>
      </c>
      <c r="V476" t="s">
        <v>3839</v>
      </c>
      <c r="W476" s="88" t="s">
        <v>4034</v>
      </c>
    </row>
    <row r="477" spans="1:23" ht="14.4">
      <c r="A477" s="7" t="s">
        <v>92</v>
      </c>
      <c r="B477" t="s">
        <v>24</v>
      </c>
      <c r="C477" t="s">
        <v>2528</v>
      </c>
      <c r="D477" s="7" t="s">
        <v>841</v>
      </c>
      <c r="E477" s="7" t="s">
        <v>842</v>
      </c>
      <c r="F477" s="7" t="s">
        <v>843</v>
      </c>
      <c r="G477" s="7" t="s">
        <v>2584</v>
      </c>
      <c r="H477" s="85" t="s">
        <v>3454</v>
      </c>
      <c r="I477" s="85" t="s">
        <v>2754</v>
      </c>
      <c r="J477" s="85" t="s">
        <v>3455</v>
      </c>
      <c r="K477" s="85" t="s">
        <v>16</v>
      </c>
      <c r="L477" s="85">
        <v>3</v>
      </c>
      <c r="M477" s="20">
        <f>Table9[[#This Row],[Rate
(Please Select from the list)]]/5</f>
        <v>0.6</v>
      </c>
      <c r="N477" s="77">
        <v>2.86</v>
      </c>
      <c r="O477" s="74">
        <f>Table9[[#This Row],[Score %]]*Table9[[#This Row],[Item Weight
(Please Select from the list)]]</f>
        <v>1.716</v>
      </c>
      <c r="P477" s="80">
        <v>3</v>
      </c>
      <c r="Q477" t="s">
        <v>46</v>
      </c>
      <c r="R477"/>
      <c r="S477" t="s">
        <v>43</v>
      </c>
      <c r="T477"/>
      <c r="U477" t="s">
        <v>58</v>
      </c>
      <c r="V477" t="s">
        <v>3817</v>
      </c>
      <c r="W477" s="88" t="s">
        <v>4034</v>
      </c>
    </row>
    <row r="478" spans="1:23" ht="14.4">
      <c r="A478" s="7" t="s">
        <v>92</v>
      </c>
      <c r="B478" t="s">
        <v>24</v>
      </c>
      <c r="C478" t="s">
        <v>2528</v>
      </c>
      <c r="D478" s="7" t="s">
        <v>844</v>
      </c>
      <c r="E478" s="7" t="s">
        <v>845</v>
      </c>
      <c r="F478" s="7" t="s">
        <v>846</v>
      </c>
      <c r="G478" s="7" t="s">
        <v>2584</v>
      </c>
      <c r="H478" s="85" t="s">
        <v>3456</v>
      </c>
      <c r="I478" s="85" t="s">
        <v>2731</v>
      </c>
      <c r="J478" s="85" t="s">
        <v>3457</v>
      </c>
      <c r="K478" s="85" t="s">
        <v>16</v>
      </c>
      <c r="L478" s="85">
        <v>3</v>
      </c>
      <c r="M478" s="20">
        <f>Table9[[#This Row],[Rate
(Please Select from the list)]]/5</f>
        <v>0.6</v>
      </c>
      <c r="N478" s="77">
        <v>2.86</v>
      </c>
      <c r="O478" s="74">
        <f>Table9[[#This Row],[Score %]]*Table9[[#This Row],[Item Weight
(Please Select from the list)]]</f>
        <v>1.716</v>
      </c>
      <c r="P478" s="80">
        <v>3</v>
      </c>
      <c r="Q478" t="s">
        <v>59</v>
      </c>
      <c r="R478"/>
      <c r="S478" t="s">
        <v>43</v>
      </c>
      <c r="T478"/>
      <c r="U478" t="s">
        <v>58</v>
      </c>
      <c r="V478" t="s">
        <v>3813</v>
      </c>
      <c r="W478" s="88" t="s">
        <v>4034</v>
      </c>
    </row>
    <row r="479" spans="1:23" ht="14.4">
      <c r="A479" s="7" t="s">
        <v>92</v>
      </c>
      <c r="B479" t="s">
        <v>24</v>
      </c>
      <c r="C479" t="s">
        <v>2528</v>
      </c>
      <c r="D479" s="7" t="s">
        <v>847</v>
      </c>
      <c r="E479" s="7" t="s">
        <v>848</v>
      </c>
      <c r="F479" s="7" t="s">
        <v>849</v>
      </c>
      <c r="G479" s="7" t="s">
        <v>2584</v>
      </c>
      <c r="H479" s="85" t="s">
        <v>3458</v>
      </c>
      <c r="I479" s="85" t="s">
        <v>2748</v>
      </c>
      <c r="J479" s="85"/>
      <c r="K479" s="85" t="s">
        <v>47</v>
      </c>
      <c r="L479" s="85">
        <v>4</v>
      </c>
      <c r="M479" s="20">
        <f>Table9[[#This Row],[Rate
(Please Select from the list)]]/5</f>
        <v>0.8</v>
      </c>
      <c r="N479" s="77">
        <v>2.86</v>
      </c>
      <c r="O479" s="74">
        <f>Table9[[#This Row],[Score %]]*Table9[[#This Row],[Item Weight
(Please Select from the list)]]</f>
        <v>2.2879999999999998</v>
      </c>
      <c r="P479" s="80">
        <v>3</v>
      </c>
      <c r="Q479" t="s">
        <v>31</v>
      </c>
      <c r="R479"/>
      <c r="S479" t="s">
        <v>43</v>
      </c>
      <c r="T479"/>
      <c r="U479" t="s">
        <v>58</v>
      </c>
      <c r="V479" t="s">
        <v>3812</v>
      </c>
      <c r="W479" s="88" t="s">
        <v>4034</v>
      </c>
    </row>
    <row r="480" spans="1:23" ht="14.4">
      <c r="A480" s="7" t="s">
        <v>92</v>
      </c>
      <c r="B480" t="s">
        <v>24</v>
      </c>
      <c r="C480" t="s">
        <v>2528</v>
      </c>
      <c r="D480" s="7" t="s">
        <v>850</v>
      </c>
      <c r="E480" s="7" t="s">
        <v>851</v>
      </c>
      <c r="F480" s="7" t="s">
        <v>852</v>
      </c>
      <c r="G480" s="7" t="s">
        <v>2584</v>
      </c>
      <c r="H480" s="85" t="s">
        <v>3459</v>
      </c>
      <c r="I480" s="85" t="s">
        <v>2754</v>
      </c>
      <c r="J480" s="85"/>
      <c r="K480" s="85" t="s">
        <v>16</v>
      </c>
      <c r="L480" s="85">
        <v>4</v>
      </c>
      <c r="M480" s="20">
        <f>Table9[[#This Row],[Rate
(Please Select from the list)]]/5</f>
        <v>0.8</v>
      </c>
      <c r="N480" s="77">
        <v>2.86</v>
      </c>
      <c r="O480" s="74">
        <f>Table9[[#This Row],[Score %]]*Table9[[#This Row],[Item Weight
(Please Select from the list)]]</f>
        <v>2.2879999999999998</v>
      </c>
      <c r="P480" s="80">
        <v>3</v>
      </c>
      <c r="Q480" t="s">
        <v>59</v>
      </c>
      <c r="R480"/>
      <c r="S480" t="s">
        <v>57</v>
      </c>
      <c r="T480"/>
      <c r="U480" t="s">
        <v>44</v>
      </c>
      <c r="V480" t="s">
        <v>3812</v>
      </c>
      <c r="W480" s="88" t="s">
        <v>4034</v>
      </c>
    </row>
    <row r="481" spans="1:23" ht="14.4">
      <c r="A481" s="7" t="s">
        <v>92</v>
      </c>
      <c r="B481" t="s">
        <v>24</v>
      </c>
      <c r="C481" t="s">
        <v>2528</v>
      </c>
      <c r="D481" s="7" t="s">
        <v>853</v>
      </c>
      <c r="E481" s="7" t="s">
        <v>854</v>
      </c>
      <c r="F481" s="7" t="s">
        <v>855</v>
      </c>
      <c r="G481" s="7" t="s">
        <v>2584</v>
      </c>
      <c r="H481" s="85" t="s">
        <v>3460</v>
      </c>
      <c r="I481" s="85" t="s">
        <v>2754</v>
      </c>
      <c r="J481" s="85" t="s">
        <v>3461</v>
      </c>
      <c r="K481" s="85" t="s">
        <v>16</v>
      </c>
      <c r="L481" s="85">
        <v>3</v>
      </c>
      <c r="M481" s="20">
        <f>Table9[[#This Row],[Rate
(Please Select from the list)]]/5</f>
        <v>0.6</v>
      </c>
      <c r="N481" s="77">
        <v>2.86</v>
      </c>
      <c r="O481" s="74">
        <f>Table9[[#This Row],[Score %]]*Table9[[#This Row],[Item Weight
(Please Select from the list)]]</f>
        <v>1.716</v>
      </c>
      <c r="P481" s="80">
        <v>3</v>
      </c>
      <c r="Q481" t="s">
        <v>15</v>
      </c>
      <c r="R481" t="s">
        <v>3972</v>
      </c>
      <c r="S481" t="s">
        <v>43</v>
      </c>
      <c r="T481" t="s">
        <v>3844</v>
      </c>
      <c r="U481" t="s">
        <v>30</v>
      </c>
      <c r="V481" t="s">
        <v>3817</v>
      </c>
      <c r="W481" s="88" t="s">
        <v>4034</v>
      </c>
    </row>
    <row r="482" spans="1:23" ht="14.4">
      <c r="A482" s="7" t="s">
        <v>92</v>
      </c>
      <c r="B482" t="s">
        <v>24</v>
      </c>
      <c r="C482" t="s">
        <v>2528</v>
      </c>
      <c r="D482" s="7" t="s">
        <v>856</v>
      </c>
      <c r="E482" s="7" t="s">
        <v>857</v>
      </c>
      <c r="F482" s="18" t="s">
        <v>855</v>
      </c>
      <c r="G482" s="7" t="s">
        <v>2584</v>
      </c>
      <c r="H482" s="85" t="s">
        <v>3462</v>
      </c>
      <c r="I482" s="85" t="s">
        <v>2725</v>
      </c>
      <c r="J482" s="85"/>
      <c r="K482" s="85" t="s">
        <v>16</v>
      </c>
      <c r="L482" s="85">
        <v>5</v>
      </c>
      <c r="M482" s="20">
        <f>Table9[[#This Row],[Rate
(Please Select from the list)]]/5</f>
        <v>1</v>
      </c>
      <c r="N482" s="77">
        <v>2.86</v>
      </c>
      <c r="O482" s="74">
        <f>Table9[[#This Row],[Score %]]*Table9[[#This Row],[Item Weight
(Please Select from the list)]]</f>
        <v>2.86</v>
      </c>
      <c r="P482" s="80">
        <v>3</v>
      </c>
      <c r="Q482" t="s">
        <v>15</v>
      </c>
      <c r="R482"/>
      <c r="S482" t="s">
        <v>57</v>
      </c>
      <c r="T482"/>
      <c r="U482" t="s">
        <v>44</v>
      </c>
      <c r="V482" t="s">
        <v>3851</v>
      </c>
      <c r="W482" s="88" t="s">
        <v>4034</v>
      </c>
    </row>
    <row r="483" spans="1:23" ht="14.4">
      <c r="A483" s="7" t="s">
        <v>92</v>
      </c>
      <c r="B483" t="s">
        <v>24</v>
      </c>
      <c r="C483" t="s">
        <v>2528</v>
      </c>
      <c r="D483" s="7" t="s">
        <v>859</v>
      </c>
      <c r="E483" s="7" t="s">
        <v>860</v>
      </c>
      <c r="F483" s="18" t="s">
        <v>858</v>
      </c>
      <c r="G483" s="7" t="s">
        <v>2584</v>
      </c>
      <c r="H483" s="85" t="s">
        <v>3463</v>
      </c>
      <c r="I483" s="85" t="s">
        <v>2728</v>
      </c>
      <c r="J483" s="85"/>
      <c r="K483" s="85" t="s">
        <v>16</v>
      </c>
      <c r="L483" s="85">
        <v>4</v>
      </c>
      <c r="M483" s="20">
        <f>Table9[[#This Row],[Rate
(Please Select from the list)]]/5</f>
        <v>0.8</v>
      </c>
      <c r="N483" s="77">
        <v>2.86</v>
      </c>
      <c r="O483" s="74">
        <f>Table9[[#This Row],[Score %]]*Table9[[#This Row],[Item Weight
(Please Select from the list)]]</f>
        <v>2.2879999999999998</v>
      </c>
      <c r="P483" s="80">
        <v>3</v>
      </c>
      <c r="Q483" t="s">
        <v>15</v>
      </c>
      <c r="R483"/>
      <c r="S483" t="s">
        <v>57</v>
      </c>
      <c r="T483"/>
      <c r="U483" t="s">
        <v>58</v>
      </c>
      <c r="V483" t="s">
        <v>3812</v>
      </c>
      <c r="W483" s="88" t="s">
        <v>4034</v>
      </c>
    </row>
    <row r="484" spans="1:23" ht="14.4">
      <c r="A484" s="7" t="s">
        <v>92</v>
      </c>
      <c r="B484" t="s">
        <v>24</v>
      </c>
      <c r="C484" t="s">
        <v>2528</v>
      </c>
      <c r="D484" s="7" t="s">
        <v>862</v>
      </c>
      <c r="E484" s="7" t="s">
        <v>863</v>
      </c>
      <c r="F484" s="18" t="s">
        <v>861</v>
      </c>
      <c r="G484" s="7" t="s">
        <v>2584</v>
      </c>
      <c r="H484" s="85" t="s">
        <v>3464</v>
      </c>
      <c r="I484" s="85" t="s">
        <v>2718</v>
      </c>
      <c r="J484" s="85" t="s">
        <v>3465</v>
      </c>
      <c r="K484" s="85" t="s">
        <v>16</v>
      </c>
      <c r="L484" s="85">
        <v>2</v>
      </c>
      <c r="M484" s="20">
        <f>Table9[[#This Row],[Rate
(Please Select from the list)]]/5</f>
        <v>0.4</v>
      </c>
      <c r="N484" s="77">
        <v>2.86</v>
      </c>
      <c r="O484" s="74">
        <f>Table9[[#This Row],[Score %]]*Table9[[#This Row],[Item Weight
(Please Select from the list)]]</f>
        <v>1.1439999999999999</v>
      </c>
      <c r="P484" s="80">
        <v>3</v>
      </c>
      <c r="Q484" t="s">
        <v>59</v>
      </c>
      <c r="R484" t="s">
        <v>3973</v>
      </c>
      <c r="S484" t="s">
        <v>29</v>
      </c>
      <c r="T484" s="86">
        <v>45421</v>
      </c>
      <c r="U484" t="s">
        <v>30</v>
      </c>
      <c r="V484" t="s">
        <v>3823</v>
      </c>
      <c r="W484" s="88" t="s">
        <v>4034</v>
      </c>
    </row>
    <row r="485" spans="1:23" ht="14.4">
      <c r="A485" s="7" t="s">
        <v>97</v>
      </c>
      <c r="B485" t="s">
        <v>39</v>
      </c>
      <c r="C485" t="s">
        <v>2535</v>
      </c>
      <c r="D485" s="7" t="s">
        <v>865</v>
      </c>
      <c r="E485" s="7" t="s">
        <v>866</v>
      </c>
      <c r="F485" s="18" t="s">
        <v>864</v>
      </c>
      <c r="G485" s="7" t="s">
        <v>2584</v>
      </c>
      <c r="H485" s="85" t="s">
        <v>3466</v>
      </c>
      <c r="I485" s="85" t="s">
        <v>2748</v>
      </c>
      <c r="J485" s="85" t="s">
        <v>3467</v>
      </c>
      <c r="K485" s="85" t="s">
        <v>16</v>
      </c>
      <c r="L485" s="85">
        <v>3</v>
      </c>
      <c r="M485" s="20">
        <f>Table9[[#This Row],[Rate
(Please Select from the list)]]/5</f>
        <v>0.6</v>
      </c>
      <c r="N485" s="77">
        <v>2.86</v>
      </c>
      <c r="O485" s="74">
        <f>Table9[[#This Row],[Score %]]*Table9[[#This Row],[Item Weight
(Please Select from the list)]]</f>
        <v>1.716</v>
      </c>
      <c r="P485" s="80">
        <v>3</v>
      </c>
      <c r="Q485" t="s">
        <v>31</v>
      </c>
      <c r="R485"/>
      <c r="S485" t="s">
        <v>43</v>
      </c>
      <c r="T485"/>
      <c r="U485" t="s">
        <v>58</v>
      </c>
      <c r="V485" t="s">
        <v>3817</v>
      </c>
      <c r="W485" s="88" t="s">
        <v>4034</v>
      </c>
    </row>
    <row r="486" spans="1:23" ht="14.4">
      <c r="A486" s="7" t="s">
        <v>97</v>
      </c>
      <c r="B486" t="s">
        <v>39</v>
      </c>
      <c r="C486" t="s">
        <v>2535</v>
      </c>
      <c r="D486" s="7" t="s">
        <v>868</v>
      </c>
      <c r="E486" s="7" t="s">
        <v>869</v>
      </c>
      <c r="F486" s="18" t="s">
        <v>867</v>
      </c>
      <c r="G486" s="7" t="s">
        <v>2584</v>
      </c>
      <c r="H486" s="85" t="s">
        <v>3468</v>
      </c>
      <c r="I486" s="85" t="s">
        <v>2731</v>
      </c>
      <c r="J486" s="85" t="s">
        <v>3469</v>
      </c>
      <c r="K486" s="85" t="s">
        <v>16</v>
      </c>
      <c r="L486" s="85">
        <v>3</v>
      </c>
      <c r="M486" s="20">
        <f>Table9[[#This Row],[Rate
(Please Select from the list)]]/5</f>
        <v>0.6</v>
      </c>
      <c r="N486" s="77">
        <v>2.86</v>
      </c>
      <c r="O486" s="74">
        <f>Table9[[#This Row],[Score %]]*Table9[[#This Row],[Item Weight
(Please Select from the list)]]</f>
        <v>1.716</v>
      </c>
      <c r="P486" s="80">
        <v>3</v>
      </c>
      <c r="Q486" t="s">
        <v>46</v>
      </c>
      <c r="R486"/>
      <c r="S486" t="s">
        <v>43</v>
      </c>
      <c r="T486"/>
      <c r="U486" t="s">
        <v>44</v>
      </c>
      <c r="V486" t="s">
        <v>3813</v>
      </c>
      <c r="W486" s="88" t="s">
        <v>4034</v>
      </c>
    </row>
    <row r="487" spans="1:23" ht="14.4">
      <c r="A487" s="7" t="s">
        <v>97</v>
      </c>
      <c r="B487" t="s">
        <v>39</v>
      </c>
      <c r="C487" t="s">
        <v>2535</v>
      </c>
      <c r="D487" s="7" t="s">
        <v>871</v>
      </c>
      <c r="E487" s="7" t="s">
        <v>872</v>
      </c>
      <c r="F487" s="18" t="s">
        <v>870</v>
      </c>
      <c r="G487" s="7" t="s">
        <v>2584</v>
      </c>
      <c r="H487" s="85" t="s">
        <v>3470</v>
      </c>
      <c r="I487" s="85" t="s">
        <v>2728</v>
      </c>
      <c r="J487" s="85"/>
      <c r="K487" s="85" t="s">
        <v>855</v>
      </c>
      <c r="L487" s="85">
        <v>5</v>
      </c>
      <c r="M487" s="20">
        <f>Table9[[#This Row],[Rate
(Please Select from the list)]]/5</f>
        <v>1</v>
      </c>
      <c r="N487" s="77">
        <v>2.86</v>
      </c>
      <c r="O487" s="74">
        <f>Table9[[#This Row],[Score %]]*Table9[[#This Row],[Item Weight
(Please Select from the list)]]</f>
        <v>2.86</v>
      </c>
      <c r="P487" s="80">
        <v>3</v>
      </c>
      <c r="Q487" t="s">
        <v>3852</v>
      </c>
      <c r="R487"/>
      <c r="S487" t="s">
        <v>57</v>
      </c>
      <c r="T487"/>
      <c r="U487" t="s">
        <v>58</v>
      </c>
      <c r="V487" t="s">
        <v>3851</v>
      </c>
      <c r="W487" s="88" t="s">
        <v>4034</v>
      </c>
    </row>
    <row r="488" spans="1:23" ht="14.4">
      <c r="A488" s="7" t="s">
        <v>97</v>
      </c>
      <c r="B488" t="s">
        <v>39</v>
      </c>
      <c r="C488" t="s">
        <v>2535</v>
      </c>
      <c r="D488" s="7" t="s">
        <v>874</v>
      </c>
      <c r="E488" s="7" t="s">
        <v>875</v>
      </c>
      <c r="F488" s="18" t="s">
        <v>873</v>
      </c>
      <c r="G488" s="7" t="s">
        <v>2584</v>
      </c>
      <c r="H488" s="85" t="s">
        <v>3471</v>
      </c>
      <c r="I488" s="85" t="s">
        <v>2731</v>
      </c>
      <c r="J488" s="85"/>
      <c r="K488" s="85" t="s">
        <v>47</v>
      </c>
      <c r="L488" s="85">
        <v>4</v>
      </c>
      <c r="M488" s="20">
        <f>Table9[[#This Row],[Rate
(Please Select from the list)]]/5</f>
        <v>0.8</v>
      </c>
      <c r="N488" s="77">
        <v>2.86</v>
      </c>
      <c r="O488" s="74">
        <f>Table9[[#This Row],[Score %]]*Table9[[#This Row],[Item Weight
(Please Select from the list)]]</f>
        <v>2.2879999999999998</v>
      </c>
      <c r="P488" s="80">
        <v>3</v>
      </c>
      <c r="Q488" t="s">
        <v>15</v>
      </c>
      <c r="R488"/>
      <c r="S488" t="s">
        <v>57</v>
      </c>
      <c r="T488"/>
      <c r="U488" t="s">
        <v>44</v>
      </c>
      <c r="V488" t="s">
        <v>3812</v>
      </c>
      <c r="W488" s="88" t="s">
        <v>4034</v>
      </c>
    </row>
    <row r="489" spans="1:23" ht="14.4">
      <c r="A489" s="7" t="s">
        <v>97</v>
      </c>
      <c r="B489" t="s">
        <v>39</v>
      </c>
      <c r="C489" t="s">
        <v>2535</v>
      </c>
      <c r="D489" s="7" t="s">
        <v>877</v>
      </c>
      <c r="E489" s="7" t="s">
        <v>878</v>
      </c>
      <c r="F489" s="18" t="s">
        <v>876</v>
      </c>
      <c r="G489" s="7" t="s">
        <v>2584</v>
      </c>
      <c r="H489" s="85" t="s">
        <v>3472</v>
      </c>
      <c r="I489" s="85" t="s">
        <v>2754</v>
      </c>
      <c r="J489" s="85"/>
      <c r="K489" s="85" t="s">
        <v>855</v>
      </c>
      <c r="L489" s="85">
        <v>4</v>
      </c>
      <c r="M489" s="20">
        <f>Table9[[#This Row],[Rate
(Please Select from the list)]]/5</f>
        <v>0.8</v>
      </c>
      <c r="N489" s="77">
        <v>2.86</v>
      </c>
      <c r="O489" s="74">
        <f>Table9[[#This Row],[Score %]]*Table9[[#This Row],[Item Weight
(Please Select from the list)]]</f>
        <v>2.2879999999999998</v>
      </c>
      <c r="P489" s="80">
        <v>3</v>
      </c>
      <c r="Q489" t="s">
        <v>46</v>
      </c>
      <c r="R489"/>
      <c r="S489" t="s">
        <v>43</v>
      </c>
      <c r="T489"/>
      <c r="U489" t="s">
        <v>44</v>
      </c>
      <c r="V489" t="s">
        <v>3812</v>
      </c>
      <c r="W489" s="88" t="s">
        <v>4034</v>
      </c>
    </row>
    <row r="490" spans="1:23" ht="14.4">
      <c r="A490" s="7" t="s">
        <v>97</v>
      </c>
      <c r="B490" t="s">
        <v>39</v>
      </c>
      <c r="C490" t="s">
        <v>2535</v>
      </c>
      <c r="D490" s="7" t="s">
        <v>880</v>
      </c>
      <c r="E490" s="7" t="s">
        <v>881</v>
      </c>
      <c r="F490" s="18" t="s">
        <v>879</v>
      </c>
      <c r="G490" s="7" t="s">
        <v>2584</v>
      </c>
      <c r="H490" s="85" t="s">
        <v>3473</v>
      </c>
      <c r="I490" s="85" t="s">
        <v>2795</v>
      </c>
      <c r="J490" s="85" t="s">
        <v>3474</v>
      </c>
      <c r="K490" s="85" t="s">
        <v>16</v>
      </c>
      <c r="L490" s="85">
        <v>1</v>
      </c>
      <c r="M490" s="20">
        <f>Table9[[#This Row],[Rate
(Please Select from the list)]]/5</f>
        <v>0.2</v>
      </c>
      <c r="N490" s="77">
        <v>2.86</v>
      </c>
      <c r="O490" s="74">
        <f>Table9[[#This Row],[Score %]]*Table9[[#This Row],[Item Weight
(Please Select from the list)]]</f>
        <v>0.57199999999999995</v>
      </c>
      <c r="P490" s="80">
        <v>3</v>
      </c>
      <c r="Q490" t="s">
        <v>15</v>
      </c>
      <c r="R490" t="s">
        <v>3974</v>
      </c>
      <c r="S490" t="s">
        <v>13</v>
      </c>
      <c r="T490" t="s">
        <v>3820</v>
      </c>
      <c r="U490" t="s">
        <v>30</v>
      </c>
      <c r="V490" t="s">
        <v>3827</v>
      </c>
      <c r="W490" s="88" t="s">
        <v>4034</v>
      </c>
    </row>
    <row r="491" spans="1:23" ht="14.4">
      <c r="A491" s="7" t="s">
        <v>97</v>
      </c>
      <c r="B491" t="s">
        <v>39</v>
      </c>
      <c r="C491" t="s">
        <v>2535</v>
      </c>
      <c r="D491" s="7" t="s">
        <v>883</v>
      </c>
      <c r="E491" s="7" t="s">
        <v>884</v>
      </c>
      <c r="F491" s="18" t="s">
        <v>882</v>
      </c>
      <c r="G491" s="7" t="s">
        <v>2584</v>
      </c>
      <c r="H491" s="85" t="s">
        <v>3475</v>
      </c>
      <c r="I491" s="85" t="s">
        <v>2725</v>
      </c>
      <c r="J491" s="85" t="s">
        <v>3476</v>
      </c>
      <c r="K491" s="85" t="s">
        <v>16</v>
      </c>
      <c r="L491" s="85">
        <v>3</v>
      </c>
      <c r="M491" s="20">
        <f>Table9[[#This Row],[Rate
(Please Select from the list)]]/5</f>
        <v>0.6</v>
      </c>
      <c r="N491" s="77">
        <v>2.86</v>
      </c>
      <c r="O491" s="74">
        <f>Table9[[#This Row],[Score %]]*Table9[[#This Row],[Item Weight
(Please Select from the list)]]</f>
        <v>1.716</v>
      </c>
      <c r="P491" s="80">
        <v>3</v>
      </c>
      <c r="Q491" t="s">
        <v>46</v>
      </c>
      <c r="R491" t="s">
        <v>3975</v>
      </c>
      <c r="S491" t="s">
        <v>43</v>
      </c>
      <c r="T491" t="s">
        <v>3844</v>
      </c>
      <c r="U491" t="s">
        <v>30</v>
      </c>
      <c r="V491" t="s">
        <v>3839</v>
      </c>
      <c r="W491" s="88" t="s">
        <v>4034</v>
      </c>
    </row>
    <row r="492" spans="1:23" ht="14.4">
      <c r="A492" s="7" t="s">
        <v>97</v>
      </c>
      <c r="B492" t="s">
        <v>39</v>
      </c>
      <c r="C492" t="s">
        <v>2535</v>
      </c>
      <c r="D492" s="7" t="s">
        <v>886</v>
      </c>
      <c r="E492" s="7" t="s">
        <v>887</v>
      </c>
      <c r="F492" s="18" t="s">
        <v>885</v>
      </c>
      <c r="G492" s="7" t="s">
        <v>2584</v>
      </c>
      <c r="H492" s="85" t="s">
        <v>3477</v>
      </c>
      <c r="I492" s="85" t="s">
        <v>2731</v>
      </c>
      <c r="J492" s="85"/>
      <c r="K492" s="85" t="s">
        <v>16</v>
      </c>
      <c r="L492" s="85">
        <v>4</v>
      </c>
      <c r="M492" s="20">
        <f>Table9[[#This Row],[Rate
(Please Select from the list)]]/5</f>
        <v>0.8</v>
      </c>
      <c r="N492" s="77">
        <v>2.86</v>
      </c>
      <c r="O492" s="74">
        <f>Table9[[#This Row],[Score %]]*Table9[[#This Row],[Item Weight
(Please Select from the list)]]</f>
        <v>2.2879999999999998</v>
      </c>
      <c r="P492" s="80">
        <v>3</v>
      </c>
      <c r="Q492" t="s">
        <v>46</v>
      </c>
      <c r="R492"/>
      <c r="S492" t="s">
        <v>57</v>
      </c>
      <c r="T492"/>
      <c r="U492" t="s">
        <v>44</v>
      </c>
      <c r="V492" t="s">
        <v>3812</v>
      </c>
      <c r="W492" s="88" t="s">
        <v>4034</v>
      </c>
    </row>
    <row r="493" spans="1:23" ht="14.4">
      <c r="A493" s="7" t="s">
        <v>97</v>
      </c>
      <c r="B493" t="s">
        <v>39</v>
      </c>
      <c r="C493" t="s">
        <v>2535</v>
      </c>
      <c r="D493" s="7" t="s">
        <v>889</v>
      </c>
      <c r="E493" s="7" t="s">
        <v>890</v>
      </c>
      <c r="F493" s="18" t="s">
        <v>888</v>
      </c>
      <c r="G493" s="7" t="s">
        <v>2584</v>
      </c>
      <c r="H493" s="85" t="s">
        <v>3478</v>
      </c>
      <c r="I493" s="85" t="s">
        <v>2739</v>
      </c>
      <c r="J493" s="85" t="s">
        <v>3479</v>
      </c>
      <c r="K493" s="85" t="s">
        <v>16</v>
      </c>
      <c r="L493" s="85">
        <v>3</v>
      </c>
      <c r="M493" s="20">
        <f>Table9[[#This Row],[Rate
(Please Select from the list)]]/5</f>
        <v>0.6</v>
      </c>
      <c r="N493" s="77">
        <v>2.86</v>
      </c>
      <c r="O493" s="74">
        <f>Table9[[#This Row],[Score %]]*Table9[[#This Row],[Item Weight
(Please Select from the list)]]</f>
        <v>1.716</v>
      </c>
      <c r="P493" s="80">
        <v>3</v>
      </c>
      <c r="Q493" t="s">
        <v>15</v>
      </c>
      <c r="R493"/>
      <c r="S493" t="s">
        <v>43</v>
      </c>
      <c r="T493"/>
      <c r="U493" t="s">
        <v>58</v>
      </c>
      <c r="V493" t="s">
        <v>3825</v>
      </c>
      <c r="W493" s="88" t="s">
        <v>4034</v>
      </c>
    </row>
    <row r="494" spans="1:23" ht="14.4">
      <c r="A494" s="7" t="s">
        <v>97</v>
      </c>
      <c r="B494" t="s">
        <v>39</v>
      </c>
      <c r="C494" t="s">
        <v>2535</v>
      </c>
      <c r="D494" s="7" t="s">
        <v>892</v>
      </c>
      <c r="E494" s="7" t="s">
        <v>893</v>
      </c>
      <c r="F494" s="18" t="s">
        <v>891</v>
      </c>
      <c r="G494" s="7" t="s">
        <v>2584</v>
      </c>
      <c r="H494" s="85" t="s">
        <v>3480</v>
      </c>
      <c r="I494" s="85" t="s">
        <v>2739</v>
      </c>
      <c r="J494" s="85" t="s">
        <v>3481</v>
      </c>
      <c r="K494" s="85" t="s">
        <v>16</v>
      </c>
      <c r="L494" s="85">
        <v>3</v>
      </c>
      <c r="M494" s="20">
        <f>Table9[[#This Row],[Rate
(Please Select from the list)]]/5</f>
        <v>0.6</v>
      </c>
      <c r="N494" s="77">
        <v>2.86</v>
      </c>
      <c r="O494" s="74">
        <f>Table9[[#This Row],[Score %]]*Table9[[#This Row],[Item Weight
(Please Select from the list)]]</f>
        <v>1.716</v>
      </c>
      <c r="P494" s="80">
        <v>3</v>
      </c>
      <c r="Q494" t="s">
        <v>15</v>
      </c>
      <c r="R494"/>
      <c r="S494" t="s">
        <v>43</v>
      </c>
      <c r="T494"/>
      <c r="U494" t="s">
        <v>44</v>
      </c>
      <c r="V494" t="s">
        <v>3825</v>
      </c>
      <c r="W494" s="88" t="s">
        <v>4034</v>
      </c>
    </row>
    <row r="495" spans="1:23" ht="14.4">
      <c r="A495" s="7" t="s">
        <v>97</v>
      </c>
      <c r="B495" t="s">
        <v>39</v>
      </c>
      <c r="C495" t="s">
        <v>2535</v>
      </c>
      <c r="D495" s="7" t="s">
        <v>895</v>
      </c>
      <c r="E495" s="7" t="s">
        <v>732</v>
      </c>
      <c r="F495" s="18" t="s">
        <v>894</v>
      </c>
      <c r="G495" s="7" t="s">
        <v>2584</v>
      </c>
      <c r="H495" s="85" t="s">
        <v>3482</v>
      </c>
      <c r="I495" s="85" t="s">
        <v>2725</v>
      </c>
      <c r="J495" s="85" t="s">
        <v>3483</v>
      </c>
      <c r="K495" s="85" t="s">
        <v>16</v>
      </c>
      <c r="L495" s="85">
        <v>3</v>
      </c>
      <c r="M495" s="20">
        <f>Table9[[#This Row],[Rate
(Please Select from the list)]]/5</f>
        <v>0.6</v>
      </c>
      <c r="N495" s="77">
        <v>2.86</v>
      </c>
      <c r="O495" s="74">
        <f>Table9[[#This Row],[Score %]]*Table9[[#This Row],[Item Weight
(Please Select from the list)]]</f>
        <v>1.716</v>
      </c>
      <c r="P495" s="80">
        <v>3</v>
      </c>
      <c r="Q495" t="s">
        <v>15</v>
      </c>
      <c r="R495" t="s">
        <v>3976</v>
      </c>
      <c r="S495" t="s">
        <v>29</v>
      </c>
      <c r="T495" s="86">
        <v>45421</v>
      </c>
      <c r="U495" t="s">
        <v>30</v>
      </c>
      <c r="V495" t="s">
        <v>3817</v>
      </c>
      <c r="W495" s="88" t="s">
        <v>4034</v>
      </c>
    </row>
    <row r="496" spans="1:23" ht="14.4">
      <c r="A496" s="7" t="s">
        <v>97</v>
      </c>
      <c r="B496" t="s">
        <v>39</v>
      </c>
      <c r="C496" t="s">
        <v>2535</v>
      </c>
      <c r="D496" s="7" t="s">
        <v>896</v>
      </c>
      <c r="E496" s="7" t="s">
        <v>897</v>
      </c>
      <c r="F496" s="18" t="s">
        <v>733</v>
      </c>
      <c r="G496" s="7" t="s">
        <v>2584</v>
      </c>
      <c r="H496" s="85" t="s">
        <v>3484</v>
      </c>
      <c r="I496" s="85" t="s">
        <v>2716</v>
      </c>
      <c r="J496" s="85" t="s">
        <v>3485</v>
      </c>
      <c r="K496" s="85" t="s">
        <v>16</v>
      </c>
      <c r="L496" s="85">
        <v>2</v>
      </c>
      <c r="M496" s="20">
        <f>Table9[[#This Row],[Rate
(Please Select from the list)]]/5</f>
        <v>0.4</v>
      </c>
      <c r="N496" s="77">
        <v>2.86</v>
      </c>
      <c r="O496" s="74">
        <f>Table9[[#This Row],[Score %]]*Table9[[#This Row],[Item Weight
(Please Select from the list)]]</f>
        <v>1.1439999999999999</v>
      </c>
      <c r="P496" s="80">
        <v>3</v>
      </c>
      <c r="Q496" t="s">
        <v>46</v>
      </c>
      <c r="R496" t="s">
        <v>3977</v>
      </c>
      <c r="S496" t="s">
        <v>13</v>
      </c>
      <c r="T496" t="s">
        <v>3820</v>
      </c>
      <c r="U496" t="s">
        <v>14</v>
      </c>
      <c r="V496" t="s">
        <v>3831</v>
      </c>
      <c r="W496" s="88" t="s">
        <v>4034</v>
      </c>
    </row>
    <row r="497" spans="1:23" ht="14.4">
      <c r="A497" s="7" t="s">
        <v>97</v>
      </c>
      <c r="B497" t="s">
        <v>39</v>
      </c>
      <c r="C497" t="s">
        <v>2535</v>
      </c>
      <c r="D497" s="7" t="s">
        <v>898</v>
      </c>
      <c r="E497" s="7" t="s">
        <v>815</v>
      </c>
      <c r="F497" s="18" t="s">
        <v>655</v>
      </c>
      <c r="G497" s="7" t="s">
        <v>2584</v>
      </c>
      <c r="H497" s="85" t="s">
        <v>3486</v>
      </c>
      <c r="I497" s="85" t="s">
        <v>2725</v>
      </c>
      <c r="J497" s="85"/>
      <c r="K497" s="85" t="s">
        <v>855</v>
      </c>
      <c r="L497" s="85">
        <v>4</v>
      </c>
      <c r="M497" s="20">
        <f>Table9[[#This Row],[Rate
(Please Select from the list)]]/5</f>
        <v>0.8</v>
      </c>
      <c r="N497" s="77">
        <v>2.86</v>
      </c>
      <c r="O497" s="74">
        <f>Table9[[#This Row],[Score %]]*Table9[[#This Row],[Item Weight
(Please Select from the list)]]</f>
        <v>2.2879999999999998</v>
      </c>
      <c r="P497" s="80">
        <v>3</v>
      </c>
      <c r="Q497" t="s">
        <v>31</v>
      </c>
      <c r="R497"/>
      <c r="S497" t="s">
        <v>57</v>
      </c>
      <c r="T497"/>
      <c r="U497" t="s">
        <v>58</v>
      </c>
      <c r="V497" t="s">
        <v>3812</v>
      </c>
      <c r="W497" s="88" t="s">
        <v>4034</v>
      </c>
    </row>
    <row r="498" spans="1:23" ht="14.4">
      <c r="A498" s="7" t="s">
        <v>97</v>
      </c>
      <c r="B498" t="s">
        <v>39</v>
      </c>
      <c r="C498" t="s">
        <v>2535</v>
      </c>
      <c r="D498" s="7" t="s">
        <v>899</v>
      </c>
      <c r="E498" s="7" t="s">
        <v>900</v>
      </c>
      <c r="F498" s="18" t="s">
        <v>736</v>
      </c>
      <c r="G498" s="7" t="s">
        <v>2584</v>
      </c>
      <c r="H498" s="85" t="s">
        <v>3487</v>
      </c>
      <c r="I498" s="85" t="s">
        <v>2795</v>
      </c>
      <c r="J498" s="85" t="s">
        <v>3488</v>
      </c>
      <c r="K498" s="85" t="s">
        <v>16</v>
      </c>
      <c r="L498" s="85">
        <v>3</v>
      </c>
      <c r="M498" s="20">
        <f>Table9[[#This Row],[Rate
(Please Select from the list)]]/5</f>
        <v>0.6</v>
      </c>
      <c r="N498" s="77">
        <v>2.86</v>
      </c>
      <c r="O498" s="74">
        <f>Table9[[#This Row],[Score %]]*Table9[[#This Row],[Item Weight
(Please Select from the list)]]</f>
        <v>1.716</v>
      </c>
      <c r="P498" s="80">
        <v>3</v>
      </c>
      <c r="Q498" t="s">
        <v>31</v>
      </c>
      <c r="R498"/>
      <c r="S498" t="s">
        <v>43</v>
      </c>
      <c r="T498"/>
      <c r="U498" t="s">
        <v>58</v>
      </c>
      <c r="V498" t="s">
        <v>3813</v>
      </c>
      <c r="W498" s="88" t="s">
        <v>4034</v>
      </c>
    </row>
    <row r="499" spans="1:23" ht="14.4">
      <c r="A499" s="7" t="s">
        <v>97</v>
      </c>
      <c r="B499" t="s">
        <v>39</v>
      </c>
      <c r="C499" t="s">
        <v>2535</v>
      </c>
      <c r="D499" s="7" t="s">
        <v>902</v>
      </c>
      <c r="E499" s="7" t="s">
        <v>903</v>
      </c>
      <c r="F499" s="18" t="s">
        <v>901</v>
      </c>
      <c r="G499" s="7" t="s">
        <v>2584</v>
      </c>
      <c r="H499" s="85" t="s">
        <v>3489</v>
      </c>
      <c r="I499" s="85" t="s">
        <v>2795</v>
      </c>
      <c r="J499" s="85" t="s">
        <v>3490</v>
      </c>
      <c r="K499" s="85" t="s">
        <v>16</v>
      </c>
      <c r="L499" s="85">
        <v>3</v>
      </c>
      <c r="M499" s="20">
        <f>Table9[[#This Row],[Rate
(Please Select from the list)]]/5</f>
        <v>0.6</v>
      </c>
      <c r="N499" s="77">
        <v>2.86</v>
      </c>
      <c r="O499" s="74">
        <f>Table9[[#This Row],[Score %]]*Table9[[#This Row],[Item Weight
(Please Select from the list)]]</f>
        <v>1.716</v>
      </c>
      <c r="P499" s="80">
        <v>3</v>
      </c>
      <c r="Q499" t="s">
        <v>46</v>
      </c>
      <c r="R499"/>
      <c r="S499" t="s">
        <v>43</v>
      </c>
      <c r="T499"/>
      <c r="U499" t="s">
        <v>58</v>
      </c>
      <c r="V499" t="s">
        <v>3813</v>
      </c>
      <c r="W499" s="88" t="s">
        <v>4034</v>
      </c>
    </row>
    <row r="500" spans="1:23" ht="14.4">
      <c r="A500" s="7" t="s">
        <v>97</v>
      </c>
      <c r="B500" t="s">
        <v>39</v>
      </c>
      <c r="C500" t="s">
        <v>2535</v>
      </c>
      <c r="D500" s="7" t="s">
        <v>905</v>
      </c>
      <c r="E500" s="7" t="s">
        <v>906</v>
      </c>
      <c r="F500" s="18" t="s">
        <v>904</v>
      </c>
      <c r="G500" s="7" t="s">
        <v>2584</v>
      </c>
      <c r="H500" s="85" t="s">
        <v>3491</v>
      </c>
      <c r="I500" s="85" t="s">
        <v>2725</v>
      </c>
      <c r="J500" s="85" t="s">
        <v>3492</v>
      </c>
      <c r="K500" s="85" t="s">
        <v>16</v>
      </c>
      <c r="L500" s="85">
        <v>2</v>
      </c>
      <c r="M500" s="20">
        <f>Table9[[#This Row],[Rate
(Please Select from the list)]]/5</f>
        <v>0.4</v>
      </c>
      <c r="N500" s="77">
        <v>2.86</v>
      </c>
      <c r="O500" s="74">
        <f>Table9[[#This Row],[Score %]]*Table9[[#This Row],[Item Weight
(Please Select from the list)]]</f>
        <v>1.1439999999999999</v>
      </c>
      <c r="P500" s="80">
        <v>3</v>
      </c>
      <c r="Q500" t="s">
        <v>15</v>
      </c>
      <c r="R500" t="s">
        <v>3978</v>
      </c>
      <c r="S500" t="s">
        <v>13</v>
      </c>
      <c r="T500" t="s">
        <v>3820</v>
      </c>
      <c r="U500" t="s">
        <v>30</v>
      </c>
      <c r="V500" t="s">
        <v>3847</v>
      </c>
      <c r="W500" s="88" t="s">
        <v>4034</v>
      </c>
    </row>
    <row r="501" spans="1:23" ht="14.4">
      <c r="A501" s="7" t="s">
        <v>97</v>
      </c>
      <c r="B501" t="s">
        <v>39</v>
      </c>
      <c r="C501" t="s">
        <v>2535</v>
      </c>
      <c r="D501" s="7" t="s">
        <v>908</v>
      </c>
      <c r="E501" s="7" t="s">
        <v>909</v>
      </c>
      <c r="F501" s="18" t="s">
        <v>907</v>
      </c>
      <c r="G501" s="7" t="s">
        <v>2584</v>
      </c>
      <c r="H501" s="85" t="s">
        <v>3493</v>
      </c>
      <c r="I501" s="85" t="s">
        <v>2795</v>
      </c>
      <c r="J501" s="85" t="s">
        <v>3494</v>
      </c>
      <c r="K501" s="85" t="s">
        <v>16</v>
      </c>
      <c r="L501" s="85">
        <v>3</v>
      </c>
      <c r="M501" s="20">
        <f>Table9[[#This Row],[Rate
(Please Select from the list)]]/5</f>
        <v>0.6</v>
      </c>
      <c r="N501" s="77">
        <v>2.86</v>
      </c>
      <c r="O501" s="74">
        <f>Table9[[#This Row],[Score %]]*Table9[[#This Row],[Item Weight
(Please Select from the list)]]</f>
        <v>1.716</v>
      </c>
      <c r="P501" s="80">
        <v>3</v>
      </c>
      <c r="Q501" t="s">
        <v>46</v>
      </c>
      <c r="R501"/>
      <c r="S501" t="s">
        <v>43</v>
      </c>
      <c r="T501"/>
      <c r="U501" t="s">
        <v>58</v>
      </c>
      <c r="V501" t="s">
        <v>3815</v>
      </c>
      <c r="W501" s="88" t="s">
        <v>4034</v>
      </c>
    </row>
    <row r="502" spans="1:23" ht="14.4">
      <c r="A502" s="7" t="s">
        <v>97</v>
      </c>
      <c r="B502" t="s">
        <v>39</v>
      </c>
      <c r="C502" t="s">
        <v>2535</v>
      </c>
      <c r="D502" s="7" t="s">
        <v>910</v>
      </c>
      <c r="E502" s="7" t="s">
        <v>911</v>
      </c>
      <c r="F502" s="18" t="s">
        <v>846</v>
      </c>
      <c r="G502" s="7" t="s">
        <v>2584</v>
      </c>
      <c r="H502" s="85" t="s">
        <v>3495</v>
      </c>
      <c r="I502" s="85" t="s">
        <v>2731</v>
      </c>
      <c r="J502" s="85"/>
      <c r="K502" s="85" t="s">
        <v>47</v>
      </c>
      <c r="L502" s="85">
        <v>4</v>
      </c>
      <c r="M502" s="20">
        <f>Table9[[#This Row],[Rate
(Please Select from the list)]]/5</f>
        <v>0.8</v>
      </c>
      <c r="N502" s="77">
        <v>2.86</v>
      </c>
      <c r="O502" s="74">
        <f>Table9[[#This Row],[Score %]]*Table9[[#This Row],[Item Weight
(Please Select from the list)]]</f>
        <v>2.2879999999999998</v>
      </c>
      <c r="P502" s="80">
        <v>3</v>
      </c>
      <c r="Q502" t="s">
        <v>31</v>
      </c>
      <c r="R502"/>
      <c r="S502" t="s">
        <v>43</v>
      </c>
      <c r="T502"/>
      <c r="U502" t="s">
        <v>58</v>
      </c>
      <c r="V502" t="s">
        <v>3812</v>
      </c>
      <c r="W502" s="88" t="s">
        <v>4034</v>
      </c>
    </row>
    <row r="503" spans="1:23" ht="14.4">
      <c r="A503" s="7" t="s">
        <v>97</v>
      </c>
      <c r="B503" t="s">
        <v>39</v>
      </c>
      <c r="C503" t="s">
        <v>2535</v>
      </c>
      <c r="D503" s="7" t="s">
        <v>913</v>
      </c>
      <c r="E503" s="7" t="s">
        <v>914</v>
      </c>
      <c r="F503" s="18" t="s">
        <v>912</v>
      </c>
      <c r="G503" s="7" t="s">
        <v>2584</v>
      </c>
      <c r="H503" s="85" t="s">
        <v>3496</v>
      </c>
      <c r="I503" s="85" t="s">
        <v>2718</v>
      </c>
      <c r="J503" s="85"/>
      <c r="K503" s="85" t="s">
        <v>47</v>
      </c>
      <c r="L503" s="85">
        <v>4</v>
      </c>
      <c r="M503" s="20">
        <f>Table9[[#This Row],[Rate
(Please Select from the list)]]/5</f>
        <v>0.8</v>
      </c>
      <c r="N503" s="77">
        <v>2.86</v>
      </c>
      <c r="O503" s="74">
        <f>Table9[[#This Row],[Score %]]*Table9[[#This Row],[Item Weight
(Please Select from the list)]]</f>
        <v>2.2879999999999998</v>
      </c>
      <c r="P503" s="80">
        <v>3</v>
      </c>
      <c r="Q503" t="s">
        <v>46</v>
      </c>
      <c r="R503"/>
      <c r="S503" t="s">
        <v>57</v>
      </c>
      <c r="T503"/>
      <c r="U503" t="s">
        <v>58</v>
      </c>
      <c r="V503" t="s">
        <v>3812</v>
      </c>
      <c r="W503" s="88" t="s">
        <v>4034</v>
      </c>
    </row>
    <row r="504" spans="1:23" ht="14.4">
      <c r="A504" s="7" t="s">
        <v>97</v>
      </c>
      <c r="B504" t="s">
        <v>39</v>
      </c>
      <c r="C504" t="s">
        <v>2535</v>
      </c>
      <c r="D504" s="7" t="s">
        <v>916</v>
      </c>
      <c r="E504" s="7" t="s">
        <v>917</v>
      </c>
      <c r="F504" s="18" t="s">
        <v>915</v>
      </c>
      <c r="G504" s="7" t="s">
        <v>2584</v>
      </c>
      <c r="H504" s="85" t="s">
        <v>3497</v>
      </c>
      <c r="I504" s="85" t="s">
        <v>2725</v>
      </c>
      <c r="J504" s="85"/>
      <c r="K504" s="85" t="s">
        <v>47</v>
      </c>
      <c r="L504" s="85">
        <v>4</v>
      </c>
      <c r="M504" s="20">
        <f>Table9[[#This Row],[Rate
(Please Select from the list)]]/5</f>
        <v>0.8</v>
      </c>
      <c r="N504" s="77">
        <v>2.86</v>
      </c>
      <c r="O504" s="74">
        <f>Table9[[#This Row],[Score %]]*Table9[[#This Row],[Item Weight
(Please Select from the list)]]</f>
        <v>2.2879999999999998</v>
      </c>
      <c r="P504" s="80">
        <v>3</v>
      </c>
      <c r="Q504" t="s">
        <v>46</v>
      </c>
      <c r="R504"/>
      <c r="S504" t="s">
        <v>57</v>
      </c>
      <c r="T504"/>
      <c r="U504" t="s">
        <v>44</v>
      </c>
      <c r="V504" t="s">
        <v>3812</v>
      </c>
      <c r="W504" s="88" t="s">
        <v>4034</v>
      </c>
    </row>
    <row r="505" spans="1:23" ht="14.4">
      <c r="A505" s="7" t="s">
        <v>97</v>
      </c>
      <c r="B505" t="s">
        <v>39</v>
      </c>
      <c r="C505" t="s">
        <v>2535</v>
      </c>
      <c r="D505" s="7" t="s">
        <v>919</v>
      </c>
      <c r="E505" s="7" t="s">
        <v>920</v>
      </c>
      <c r="F505" s="18" t="s">
        <v>918</v>
      </c>
      <c r="G505" s="7" t="s">
        <v>2584</v>
      </c>
      <c r="H505" s="85" t="s">
        <v>3498</v>
      </c>
      <c r="I505" s="85" t="s">
        <v>2716</v>
      </c>
      <c r="J505" s="85"/>
      <c r="K505" s="85" t="s">
        <v>16</v>
      </c>
      <c r="L505" s="85">
        <v>4</v>
      </c>
      <c r="M505" s="20">
        <f>Table9[[#This Row],[Rate
(Please Select from the list)]]/5</f>
        <v>0.8</v>
      </c>
      <c r="N505" s="77">
        <v>2.86</v>
      </c>
      <c r="O505" s="74">
        <f>Table9[[#This Row],[Score %]]*Table9[[#This Row],[Item Weight
(Please Select from the list)]]</f>
        <v>2.2879999999999998</v>
      </c>
      <c r="P505" s="80">
        <v>3</v>
      </c>
      <c r="Q505" t="s">
        <v>46</v>
      </c>
      <c r="R505"/>
      <c r="S505" t="s">
        <v>57</v>
      </c>
      <c r="T505"/>
      <c r="U505" t="s">
        <v>44</v>
      </c>
      <c r="V505" t="s">
        <v>3812</v>
      </c>
      <c r="W505" s="88" t="s">
        <v>4034</v>
      </c>
    </row>
    <row r="506" spans="1:23" ht="14.4">
      <c r="A506" s="7" t="s">
        <v>97</v>
      </c>
      <c r="B506" t="s">
        <v>39</v>
      </c>
      <c r="C506" t="s">
        <v>2535</v>
      </c>
      <c r="D506" s="7" t="s">
        <v>921</v>
      </c>
      <c r="E506" s="7" t="s">
        <v>922</v>
      </c>
      <c r="F506" s="18" t="s">
        <v>907</v>
      </c>
      <c r="G506" s="7" t="s">
        <v>2584</v>
      </c>
      <c r="H506" s="85" t="s">
        <v>3499</v>
      </c>
      <c r="I506" s="85" t="s">
        <v>2748</v>
      </c>
      <c r="J506" s="85" t="s">
        <v>3500</v>
      </c>
      <c r="K506" s="85" t="s">
        <v>16</v>
      </c>
      <c r="L506" s="85">
        <v>2</v>
      </c>
      <c r="M506" s="20">
        <f>Table9[[#This Row],[Rate
(Please Select from the list)]]/5</f>
        <v>0.4</v>
      </c>
      <c r="N506" s="77">
        <v>2.86</v>
      </c>
      <c r="O506" s="74">
        <f>Table9[[#This Row],[Score %]]*Table9[[#This Row],[Item Weight
(Please Select from the list)]]</f>
        <v>1.1439999999999999</v>
      </c>
      <c r="P506" s="80">
        <v>3</v>
      </c>
      <c r="Q506" t="s">
        <v>15</v>
      </c>
      <c r="R506"/>
      <c r="S506" t="s">
        <v>29</v>
      </c>
      <c r="T506"/>
      <c r="U506" t="s">
        <v>44</v>
      </c>
      <c r="V506" t="s">
        <v>3847</v>
      </c>
      <c r="W506" s="88" t="s">
        <v>4034</v>
      </c>
    </row>
    <row r="507" spans="1:23" ht="14.4">
      <c r="A507" s="7" t="s">
        <v>97</v>
      </c>
      <c r="B507" t="s">
        <v>39</v>
      </c>
      <c r="C507" t="s">
        <v>2535</v>
      </c>
      <c r="D507" s="7" t="s">
        <v>924</v>
      </c>
      <c r="E507" s="7" t="s">
        <v>925</v>
      </c>
      <c r="F507" s="18" t="s">
        <v>923</v>
      </c>
      <c r="G507" s="7" t="s">
        <v>2584</v>
      </c>
      <c r="H507" s="85" t="s">
        <v>3501</v>
      </c>
      <c r="I507" s="85" t="s">
        <v>2716</v>
      </c>
      <c r="J507" s="85" t="s">
        <v>3502</v>
      </c>
      <c r="K507" s="85" t="s">
        <v>16</v>
      </c>
      <c r="L507" s="85">
        <v>3</v>
      </c>
      <c r="M507" s="20">
        <f>Table9[[#This Row],[Rate
(Please Select from the list)]]/5</f>
        <v>0.6</v>
      </c>
      <c r="N507" s="77">
        <v>2.86</v>
      </c>
      <c r="O507" s="74">
        <f>Table9[[#This Row],[Score %]]*Table9[[#This Row],[Item Weight
(Please Select from the list)]]</f>
        <v>1.716</v>
      </c>
      <c r="P507" s="80">
        <v>3</v>
      </c>
      <c r="Q507" t="s">
        <v>46</v>
      </c>
      <c r="R507"/>
      <c r="S507" t="s">
        <v>43</v>
      </c>
      <c r="T507"/>
      <c r="U507" t="s">
        <v>44</v>
      </c>
      <c r="V507" t="s">
        <v>3839</v>
      </c>
      <c r="W507" s="88" t="s">
        <v>4034</v>
      </c>
    </row>
    <row r="508" spans="1:23" ht="14.4">
      <c r="A508" s="7" t="s">
        <v>97</v>
      </c>
      <c r="B508" t="s">
        <v>39</v>
      </c>
      <c r="C508" t="s">
        <v>2535</v>
      </c>
      <c r="D508" s="7" t="s">
        <v>927</v>
      </c>
      <c r="E508" s="7" t="s">
        <v>928</v>
      </c>
      <c r="F508" s="18" t="s">
        <v>926</v>
      </c>
      <c r="G508" s="7" t="s">
        <v>2584</v>
      </c>
      <c r="H508" s="85" t="s">
        <v>3503</v>
      </c>
      <c r="I508" s="85" t="s">
        <v>2754</v>
      </c>
      <c r="J508" s="85" t="s">
        <v>3504</v>
      </c>
      <c r="K508" s="85" t="s">
        <v>16</v>
      </c>
      <c r="L508" s="85">
        <v>3</v>
      </c>
      <c r="M508" s="20">
        <f>Table9[[#This Row],[Rate
(Please Select from the list)]]/5</f>
        <v>0.6</v>
      </c>
      <c r="N508" s="77">
        <v>2.86</v>
      </c>
      <c r="O508" s="74">
        <f>Table9[[#This Row],[Score %]]*Table9[[#This Row],[Item Weight
(Please Select from the list)]]</f>
        <v>1.716</v>
      </c>
      <c r="P508" s="80">
        <v>3</v>
      </c>
      <c r="Q508" t="s">
        <v>46</v>
      </c>
      <c r="R508"/>
      <c r="S508" t="s">
        <v>43</v>
      </c>
      <c r="T508"/>
      <c r="U508" t="s">
        <v>58</v>
      </c>
      <c r="V508" t="s">
        <v>3839</v>
      </c>
      <c r="W508" s="88" t="s">
        <v>4034</v>
      </c>
    </row>
    <row r="509" spans="1:23" ht="14.4">
      <c r="A509" s="7" t="s">
        <v>97</v>
      </c>
      <c r="B509" t="s">
        <v>39</v>
      </c>
      <c r="C509" t="s">
        <v>2535</v>
      </c>
      <c r="D509" s="7" t="s">
        <v>929</v>
      </c>
      <c r="E509" s="7" t="s">
        <v>930</v>
      </c>
      <c r="F509" s="18" t="s">
        <v>653</v>
      </c>
      <c r="G509" s="7" t="s">
        <v>2584</v>
      </c>
      <c r="H509" s="85" t="s">
        <v>3505</v>
      </c>
      <c r="I509" s="85" t="s">
        <v>2739</v>
      </c>
      <c r="J509" s="85" t="s">
        <v>3506</v>
      </c>
      <c r="K509" s="85" t="s">
        <v>16</v>
      </c>
      <c r="L509" s="85">
        <v>0</v>
      </c>
      <c r="M509" s="20">
        <f>Table9[[#This Row],[Rate
(Please Select from the list)]]/5</f>
        <v>0</v>
      </c>
      <c r="N509" s="77">
        <v>2.86</v>
      </c>
      <c r="O509" s="74">
        <f>Table9[[#This Row],[Score %]]*Table9[[#This Row],[Item Weight
(Please Select from the list)]]</f>
        <v>0</v>
      </c>
      <c r="P509" s="80">
        <v>3</v>
      </c>
      <c r="Q509" t="s">
        <v>15</v>
      </c>
      <c r="R509"/>
      <c r="S509" t="s">
        <v>3828</v>
      </c>
      <c r="T509"/>
      <c r="U509" t="s">
        <v>45</v>
      </c>
      <c r="V509" t="s">
        <v>3829</v>
      </c>
      <c r="W509" s="88" t="s">
        <v>4034</v>
      </c>
    </row>
    <row r="510" spans="1:23" ht="14.4">
      <c r="A510" s="7" t="s">
        <v>97</v>
      </c>
      <c r="B510" t="s">
        <v>39</v>
      </c>
      <c r="C510" t="s">
        <v>2535</v>
      </c>
      <c r="D510" s="7" t="s">
        <v>931</v>
      </c>
      <c r="E510" s="7" t="s">
        <v>932</v>
      </c>
      <c r="F510" s="18" t="s">
        <v>58</v>
      </c>
      <c r="G510" s="7" t="s">
        <v>2584</v>
      </c>
      <c r="H510" s="85" t="s">
        <v>3507</v>
      </c>
      <c r="I510" s="85" t="s">
        <v>2728</v>
      </c>
      <c r="J510" s="85" t="s">
        <v>3508</v>
      </c>
      <c r="K510" s="85" t="s">
        <v>16</v>
      </c>
      <c r="L510" s="85">
        <v>3</v>
      </c>
      <c r="M510" s="20">
        <f>Table9[[#This Row],[Rate
(Please Select from the list)]]/5</f>
        <v>0.6</v>
      </c>
      <c r="N510" s="77">
        <v>2.86</v>
      </c>
      <c r="O510" s="74">
        <f>Table9[[#This Row],[Score %]]*Table9[[#This Row],[Item Weight
(Please Select from the list)]]</f>
        <v>1.716</v>
      </c>
      <c r="P510" s="80">
        <v>3</v>
      </c>
      <c r="Q510" t="s">
        <v>59</v>
      </c>
      <c r="R510"/>
      <c r="S510" t="s">
        <v>43</v>
      </c>
      <c r="T510"/>
      <c r="U510" t="s">
        <v>44</v>
      </c>
      <c r="V510" t="s">
        <v>3813</v>
      </c>
      <c r="W510" s="88" t="s">
        <v>4034</v>
      </c>
    </row>
    <row r="511" spans="1:23" ht="14.4">
      <c r="A511" s="7" t="s">
        <v>97</v>
      </c>
      <c r="B511" t="s">
        <v>39</v>
      </c>
      <c r="C511" t="s">
        <v>2535</v>
      </c>
      <c r="D511" s="7" t="s">
        <v>934</v>
      </c>
      <c r="E511" s="7" t="s">
        <v>935</v>
      </c>
      <c r="F511" s="18" t="s">
        <v>933</v>
      </c>
      <c r="G511" s="7" t="s">
        <v>2584</v>
      </c>
      <c r="H511" s="85" t="s">
        <v>3509</v>
      </c>
      <c r="I511" s="85" t="s">
        <v>2725</v>
      </c>
      <c r="J511" s="85"/>
      <c r="K511" s="85" t="s">
        <v>16</v>
      </c>
      <c r="L511" s="85">
        <v>4</v>
      </c>
      <c r="M511" s="20">
        <f>Table9[[#This Row],[Rate
(Please Select from the list)]]/5</f>
        <v>0.8</v>
      </c>
      <c r="N511" s="77">
        <v>2.86</v>
      </c>
      <c r="O511" s="74">
        <f>Table9[[#This Row],[Score %]]*Table9[[#This Row],[Item Weight
(Please Select from the list)]]</f>
        <v>2.2879999999999998</v>
      </c>
      <c r="P511" s="80">
        <v>3</v>
      </c>
      <c r="Q511" t="s">
        <v>59</v>
      </c>
      <c r="R511" t="s">
        <v>3979</v>
      </c>
      <c r="S511" t="s">
        <v>43</v>
      </c>
      <c r="T511" t="s">
        <v>3844</v>
      </c>
      <c r="U511" t="s">
        <v>30</v>
      </c>
      <c r="V511" t="s">
        <v>3812</v>
      </c>
      <c r="W511" s="88" t="s">
        <v>4034</v>
      </c>
    </row>
    <row r="512" spans="1:23" ht="14.4">
      <c r="A512" s="7" t="s">
        <v>97</v>
      </c>
      <c r="B512" t="s">
        <v>39</v>
      </c>
      <c r="C512" t="s">
        <v>2535</v>
      </c>
      <c r="D512" s="7" t="s">
        <v>937</v>
      </c>
      <c r="E512" s="7" t="s">
        <v>938</v>
      </c>
      <c r="F512" s="18" t="s">
        <v>936</v>
      </c>
      <c r="G512" s="7" t="s">
        <v>2584</v>
      </c>
      <c r="H512" s="85" t="s">
        <v>3510</v>
      </c>
      <c r="I512" s="85" t="s">
        <v>2731</v>
      </c>
      <c r="J512" s="85" t="s">
        <v>3511</v>
      </c>
      <c r="K512" s="85" t="s">
        <v>16</v>
      </c>
      <c r="L512" s="85">
        <v>2</v>
      </c>
      <c r="M512" s="20">
        <f>Table9[[#This Row],[Rate
(Please Select from the list)]]/5</f>
        <v>0.4</v>
      </c>
      <c r="N512" s="77">
        <v>2.86</v>
      </c>
      <c r="O512" s="74">
        <f>Table9[[#This Row],[Score %]]*Table9[[#This Row],[Item Weight
(Please Select from the list)]]</f>
        <v>1.1439999999999999</v>
      </c>
      <c r="P512" s="80">
        <v>3</v>
      </c>
      <c r="Q512" t="s">
        <v>59</v>
      </c>
      <c r="R512" t="s">
        <v>3980</v>
      </c>
      <c r="S512" t="s">
        <v>29</v>
      </c>
      <c r="T512" s="86">
        <v>45421</v>
      </c>
      <c r="U512" t="s">
        <v>30</v>
      </c>
      <c r="V512" t="s">
        <v>3823</v>
      </c>
      <c r="W512" s="88" t="s">
        <v>4034</v>
      </c>
    </row>
    <row r="513" spans="1:23" ht="14.4">
      <c r="A513" s="7" t="s">
        <v>97</v>
      </c>
      <c r="B513" t="s">
        <v>39</v>
      </c>
      <c r="C513" t="s">
        <v>2535</v>
      </c>
      <c r="D513" s="7" t="s">
        <v>939</v>
      </c>
      <c r="E513" s="7" t="s">
        <v>940</v>
      </c>
      <c r="F513" s="18" t="s">
        <v>834</v>
      </c>
      <c r="G513" s="7" t="s">
        <v>2584</v>
      </c>
      <c r="H513" s="85" t="s">
        <v>3512</v>
      </c>
      <c r="I513" s="85" t="s">
        <v>2731</v>
      </c>
      <c r="J513" s="85" t="s">
        <v>3513</v>
      </c>
      <c r="K513" s="85" t="s">
        <v>16</v>
      </c>
      <c r="L513" s="85">
        <v>3</v>
      </c>
      <c r="M513" s="20">
        <f>Table9[[#This Row],[Rate
(Please Select from the list)]]/5</f>
        <v>0.6</v>
      </c>
      <c r="N513" s="77">
        <v>2.86</v>
      </c>
      <c r="O513" s="74">
        <f>Table9[[#This Row],[Score %]]*Table9[[#This Row],[Item Weight
(Please Select from the list)]]</f>
        <v>1.716</v>
      </c>
      <c r="P513" s="80">
        <v>3</v>
      </c>
      <c r="Q513" t="s">
        <v>46</v>
      </c>
      <c r="R513"/>
      <c r="S513" t="s">
        <v>43</v>
      </c>
      <c r="T513"/>
      <c r="U513" t="s">
        <v>58</v>
      </c>
      <c r="V513" t="s">
        <v>3825</v>
      </c>
      <c r="W513" s="88" t="s">
        <v>4034</v>
      </c>
    </row>
    <row r="514" spans="1:23" ht="14.4">
      <c r="A514" s="7" t="s">
        <v>97</v>
      </c>
      <c r="B514" t="s">
        <v>39</v>
      </c>
      <c r="C514" t="s">
        <v>2535</v>
      </c>
      <c r="D514" s="7" t="s">
        <v>942</v>
      </c>
      <c r="E514" s="7" t="s">
        <v>943</v>
      </c>
      <c r="F514" s="18" t="s">
        <v>941</v>
      </c>
      <c r="G514" s="7" t="s">
        <v>2584</v>
      </c>
      <c r="H514" s="85" t="s">
        <v>3514</v>
      </c>
      <c r="I514" s="85" t="s">
        <v>2716</v>
      </c>
      <c r="J514" s="85" t="s">
        <v>3515</v>
      </c>
      <c r="K514" s="85" t="s">
        <v>16</v>
      </c>
      <c r="L514" s="85">
        <v>3</v>
      </c>
      <c r="M514" s="20">
        <f>Table9[[#This Row],[Rate
(Please Select from the list)]]/5</f>
        <v>0.6</v>
      </c>
      <c r="N514" s="77">
        <v>2.86</v>
      </c>
      <c r="O514" s="74">
        <f>Table9[[#This Row],[Score %]]*Table9[[#This Row],[Item Weight
(Please Select from the list)]]</f>
        <v>1.716</v>
      </c>
      <c r="P514" s="80">
        <v>3</v>
      </c>
      <c r="Q514" t="s">
        <v>46</v>
      </c>
      <c r="R514" t="s">
        <v>3981</v>
      </c>
      <c r="S514" t="s">
        <v>43</v>
      </c>
      <c r="T514" t="s">
        <v>3844</v>
      </c>
      <c r="U514" t="s">
        <v>30</v>
      </c>
      <c r="V514" t="s">
        <v>3839</v>
      </c>
      <c r="W514" s="88" t="s">
        <v>4034</v>
      </c>
    </row>
    <row r="515" spans="1:23" ht="14.4">
      <c r="A515" s="7" t="s">
        <v>97</v>
      </c>
      <c r="B515" t="s">
        <v>39</v>
      </c>
      <c r="C515" t="s">
        <v>2535</v>
      </c>
      <c r="D515" s="7" t="s">
        <v>945</v>
      </c>
      <c r="E515" s="7" t="s">
        <v>946</v>
      </c>
      <c r="F515" s="18" t="s">
        <v>944</v>
      </c>
      <c r="G515" s="7" t="s">
        <v>2584</v>
      </c>
      <c r="H515" s="85" t="s">
        <v>3516</v>
      </c>
      <c r="I515" s="85" t="s">
        <v>2728</v>
      </c>
      <c r="J515" s="85"/>
      <c r="K515" s="85" t="s">
        <v>855</v>
      </c>
      <c r="L515" s="85">
        <v>4</v>
      </c>
      <c r="M515" s="20">
        <f>Table9[[#This Row],[Rate
(Please Select from the list)]]/5</f>
        <v>0.8</v>
      </c>
      <c r="N515" s="77">
        <v>2.86</v>
      </c>
      <c r="O515" s="74">
        <f>Table9[[#This Row],[Score %]]*Table9[[#This Row],[Item Weight
(Please Select from the list)]]</f>
        <v>2.2879999999999998</v>
      </c>
      <c r="P515" s="80">
        <v>3</v>
      </c>
      <c r="Q515" t="s">
        <v>15</v>
      </c>
      <c r="R515" t="s">
        <v>3982</v>
      </c>
      <c r="S515" t="s">
        <v>43</v>
      </c>
      <c r="T515" t="s">
        <v>3844</v>
      </c>
      <c r="U515" t="s">
        <v>30</v>
      </c>
      <c r="V515" t="s">
        <v>3812</v>
      </c>
      <c r="W515" s="88" t="s">
        <v>4034</v>
      </c>
    </row>
    <row r="516" spans="1:23" ht="14.4">
      <c r="A516" s="7" t="s">
        <v>97</v>
      </c>
      <c r="B516" t="s">
        <v>39</v>
      </c>
      <c r="C516" t="s">
        <v>2535</v>
      </c>
      <c r="D516" s="7" t="s">
        <v>948</v>
      </c>
      <c r="E516" s="7" t="s">
        <v>949</v>
      </c>
      <c r="F516" s="18" t="s">
        <v>947</v>
      </c>
      <c r="G516" s="7" t="s">
        <v>2584</v>
      </c>
      <c r="H516" s="85" t="s">
        <v>3517</v>
      </c>
      <c r="I516" s="85" t="s">
        <v>2795</v>
      </c>
      <c r="J516" s="85" t="s">
        <v>3518</v>
      </c>
      <c r="K516" s="85" t="s">
        <v>16</v>
      </c>
      <c r="L516" s="85">
        <v>3</v>
      </c>
      <c r="M516" s="20">
        <f>Table9[[#This Row],[Rate
(Please Select from the list)]]/5</f>
        <v>0.6</v>
      </c>
      <c r="N516" s="77">
        <v>2.86</v>
      </c>
      <c r="O516" s="74">
        <f>Table9[[#This Row],[Score %]]*Table9[[#This Row],[Item Weight
(Please Select from the list)]]</f>
        <v>1.716</v>
      </c>
      <c r="P516" s="80">
        <v>3</v>
      </c>
      <c r="Q516" t="s">
        <v>15</v>
      </c>
      <c r="R516"/>
      <c r="S516" t="s">
        <v>43</v>
      </c>
      <c r="T516"/>
      <c r="U516" t="s">
        <v>58</v>
      </c>
      <c r="V516" t="s">
        <v>3839</v>
      </c>
      <c r="W516" s="88" t="s">
        <v>4034</v>
      </c>
    </row>
    <row r="517" spans="1:23" ht="14.4">
      <c r="A517" s="7" t="s">
        <v>97</v>
      </c>
      <c r="B517" t="s">
        <v>39</v>
      </c>
      <c r="C517" t="s">
        <v>2535</v>
      </c>
      <c r="D517" s="7" t="s">
        <v>951</v>
      </c>
      <c r="E517" s="7" t="s">
        <v>952</v>
      </c>
      <c r="F517" s="18" t="s">
        <v>950</v>
      </c>
      <c r="G517" s="7" t="s">
        <v>2584</v>
      </c>
      <c r="H517" s="85" t="s">
        <v>3519</v>
      </c>
      <c r="I517" s="85" t="s">
        <v>2716</v>
      </c>
      <c r="J517" s="85" t="s">
        <v>3520</v>
      </c>
      <c r="K517" s="85" t="s">
        <v>16</v>
      </c>
      <c r="L517" s="85">
        <v>3</v>
      </c>
      <c r="M517" s="20">
        <f>Table9[[#This Row],[Rate
(Please Select from the list)]]/5</f>
        <v>0.6</v>
      </c>
      <c r="N517" s="77">
        <v>2.86</v>
      </c>
      <c r="O517" s="74">
        <f>Table9[[#This Row],[Score %]]*Table9[[#This Row],[Item Weight
(Please Select from the list)]]</f>
        <v>1.716</v>
      </c>
      <c r="P517" s="80">
        <v>3</v>
      </c>
      <c r="Q517" t="s">
        <v>15</v>
      </c>
      <c r="R517"/>
      <c r="S517" t="s">
        <v>43</v>
      </c>
      <c r="T517"/>
      <c r="U517" t="s">
        <v>44</v>
      </c>
      <c r="V517" t="s">
        <v>3817</v>
      </c>
      <c r="W517" s="88" t="s">
        <v>4034</v>
      </c>
    </row>
    <row r="518" spans="1:23" ht="14.4">
      <c r="A518" s="7" t="s">
        <v>97</v>
      </c>
      <c r="B518" t="s">
        <v>39</v>
      </c>
      <c r="C518" t="s">
        <v>2535</v>
      </c>
      <c r="D518" s="7" t="s">
        <v>954</v>
      </c>
      <c r="E518" s="7" t="s">
        <v>955</v>
      </c>
      <c r="F518" s="18" t="s">
        <v>953</v>
      </c>
      <c r="G518" s="7" t="s">
        <v>2584</v>
      </c>
      <c r="H518" s="85" t="s">
        <v>3521</v>
      </c>
      <c r="I518" s="85" t="s">
        <v>2754</v>
      </c>
      <c r="J518" s="85"/>
      <c r="K518" s="85" t="s">
        <v>855</v>
      </c>
      <c r="L518" s="85">
        <v>4</v>
      </c>
      <c r="M518" s="20">
        <f>Table9[[#This Row],[Rate
(Please Select from the list)]]/5</f>
        <v>0.8</v>
      </c>
      <c r="N518" s="77">
        <v>2.86</v>
      </c>
      <c r="O518" s="74">
        <f>Table9[[#This Row],[Score %]]*Table9[[#This Row],[Item Weight
(Please Select from the list)]]</f>
        <v>2.2879999999999998</v>
      </c>
      <c r="P518" s="80">
        <v>3</v>
      </c>
      <c r="Q518" t="s">
        <v>46</v>
      </c>
      <c r="R518"/>
      <c r="S518" t="s">
        <v>57</v>
      </c>
      <c r="T518"/>
      <c r="U518" t="s">
        <v>44</v>
      </c>
      <c r="V518" t="s">
        <v>3812</v>
      </c>
      <c r="W518" s="88" t="s">
        <v>4034</v>
      </c>
    </row>
    <row r="519" spans="1:23" ht="14.4">
      <c r="A519" s="7" t="s">
        <v>97</v>
      </c>
      <c r="B519" t="s">
        <v>39</v>
      </c>
      <c r="C519" t="s">
        <v>2535</v>
      </c>
      <c r="D519" s="7" t="s">
        <v>957</v>
      </c>
      <c r="E519" s="7" t="s">
        <v>958</v>
      </c>
      <c r="F519" s="18" t="s">
        <v>956</v>
      </c>
      <c r="G519" s="7" t="s">
        <v>2584</v>
      </c>
      <c r="H519" s="85" t="s">
        <v>3522</v>
      </c>
      <c r="I519" s="85" t="s">
        <v>2795</v>
      </c>
      <c r="J519" s="85" t="s">
        <v>3523</v>
      </c>
      <c r="K519" s="85" t="s">
        <v>16</v>
      </c>
      <c r="L519" s="85">
        <v>1</v>
      </c>
      <c r="M519" s="20">
        <f>Table9[[#This Row],[Rate
(Please Select from the list)]]/5</f>
        <v>0.2</v>
      </c>
      <c r="N519" s="77">
        <v>2.86</v>
      </c>
      <c r="O519" s="74">
        <f>Table9[[#This Row],[Score %]]*Table9[[#This Row],[Item Weight
(Please Select from the list)]]</f>
        <v>0.57199999999999995</v>
      </c>
      <c r="P519" s="80">
        <v>3</v>
      </c>
      <c r="Q519" t="s">
        <v>15</v>
      </c>
      <c r="R519" t="s">
        <v>3983</v>
      </c>
      <c r="S519" t="s">
        <v>13</v>
      </c>
      <c r="T519" t="s">
        <v>3820</v>
      </c>
      <c r="U519" t="s">
        <v>30</v>
      </c>
      <c r="V519" t="s">
        <v>3827</v>
      </c>
      <c r="W519" s="88" t="s">
        <v>4034</v>
      </c>
    </row>
    <row r="520" spans="1:23" ht="14.4">
      <c r="A520" s="7" t="s">
        <v>1520</v>
      </c>
      <c r="B520" t="s">
        <v>1521</v>
      </c>
      <c r="C520" t="s">
        <v>2545</v>
      </c>
      <c r="D520" s="7" t="s">
        <v>2213</v>
      </c>
      <c r="E520" s="7" t="s">
        <v>2214</v>
      </c>
      <c r="F520" s="18" t="s">
        <v>727</v>
      </c>
      <c r="G520" s="7" t="s">
        <v>2584</v>
      </c>
      <c r="H520" s="85" t="s">
        <v>3524</v>
      </c>
      <c r="I520" s="85" t="s">
        <v>2795</v>
      </c>
      <c r="J520" s="85"/>
      <c r="K520" s="85" t="s">
        <v>855</v>
      </c>
      <c r="L520" s="85">
        <v>4</v>
      </c>
      <c r="M520" s="20">
        <f>Table9[[#This Row],[Rate
(Please Select from the list)]]/5</f>
        <v>0.8</v>
      </c>
      <c r="N520" s="77">
        <v>2.86</v>
      </c>
      <c r="O520" s="74">
        <f>Table9[[#This Row],[Score %]]*Table9[[#This Row],[Item Weight
(Please Select from the list)]]</f>
        <v>2.2879999999999998</v>
      </c>
      <c r="P520" s="80">
        <v>3</v>
      </c>
      <c r="Q520" t="s">
        <v>46</v>
      </c>
      <c r="R520"/>
      <c r="S520" t="s">
        <v>57</v>
      </c>
      <c r="T520"/>
      <c r="U520" t="s">
        <v>44</v>
      </c>
      <c r="V520" t="s">
        <v>3812</v>
      </c>
      <c r="W520" s="88" t="s">
        <v>4034</v>
      </c>
    </row>
    <row r="521" spans="1:23" ht="14.4">
      <c r="A521" s="7" t="s">
        <v>1520</v>
      </c>
      <c r="B521" t="s">
        <v>1521</v>
      </c>
      <c r="C521" t="s">
        <v>2545</v>
      </c>
      <c r="D521" s="7" t="s">
        <v>2216</v>
      </c>
      <c r="E521" s="7" t="s">
        <v>2217</v>
      </c>
      <c r="F521" s="18" t="s">
        <v>2215</v>
      </c>
      <c r="G521" s="7" t="s">
        <v>2584</v>
      </c>
      <c r="H521" s="85" t="s">
        <v>3525</v>
      </c>
      <c r="I521" s="85" t="s">
        <v>2795</v>
      </c>
      <c r="J521" s="85"/>
      <c r="K521" s="85" t="s">
        <v>16</v>
      </c>
      <c r="L521" s="85">
        <v>4</v>
      </c>
      <c r="M521" s="20">
        <f>Table9[[#This Row],[Rate
(Please Select from the list)]]/5</f>
        <v>0.8</v>
      </c>
      <c r="N521" s="77">
        <v>2.86</v>
      </c>
      <c r="O521" s="74">
        <f>Table9[[#This Row],[Score %]]*Table9[[#This Row],[Item Weight
(Please Select from the list)]]</f>
        <v>2.2879999999999998</v>
      </c>
      <c r="P521" s="80">
        <v>3</v>
      </c>
      <c r="Q521" t="s">
        <v>46</v>
      </c>
      <c r="R521"/>
      <c r="S521" t="s">
        <v>43</v>
      </c>
      <c r="T521"/>
      <c r="U521" t="s">
        <v>58</v>
      </c>
      <c r="V521" t="s">
        <v>3812</v>
      </c>
      <c r="W521" s="88" t="s">
        <v>4034</v>
      </c>
    </row>
    <row r="522" spans="1:23" ht="14.4">
      <c r="A522" s="7" t="s">
        <v>1520</v>
      </c>
      <c r="B522" t="s">
        <v>1521</v>
      </c>
      <c r="C522" t="s">
        <v>2545</v>
      </c>
      <c r="D522" s="7" t="s">
        <v>2219</v>
      </c>
      <c r="E522" s="7" t="s">
        <v>2220</v>
      </c>
      <c r="F522" s="18" t="s">
        <v>2218</v>
      </c>
      <c r="G522" s="7" t="s">
        <v>2584</v>
      </c>
      <c r="H522" s="85" t="s">
        <v>3526</v>
      </c>
      <c r="I522" s="85" t="s">
        <v>2748</v>
      </c>
      <c r="J522" s="85"/>
      <c r="K522" s="85" t="s">
        <v>47</v>
      </c>
      <c r="L522" s="85">
        <v>4</v>
      </c>
      <c r="M522" s="20">
        <f>Table9[[#This Row],[Rate
(Please Select from the list)]]/5</f>
        <v>0.8</v>
      </c>
      <c r="N522" s="77">
        <v>2.86</v>
      </c>
      <c r="O522" s="74">
        <f>Table9[[#This Row],[Score %]]*Table9[[#This Row],[Item Weight
(Please Select from the list)]]</f>
        <v>2.2879999999999998</v>
      </c>
      <c r="P522" s="80">
        <v>3</v>
      </c>
      <c r="Q522" t="s">
        <v>31</v>
      </c>
      <c r="R522"/>
      <c r="S522" t="s">
        <v>57</v>
      </c>
      <c r="T522"/>
      <c r="U522" t="s">
        <v>58</v>
      </c>
      <c r="V522" t="s">
        <v>3812</v>
      </c>
      <c r="W522" s="88" t="s">
        <v>4034</v>
      </c>
    </row>
    <row r="523" spans="1:23" ht="14.4">
      <c r="A523" s="7" t="s">
        <v>1520</v>
      </c>
      <c r="B523" t="s">
        <v>1521</v>
      </c>
      <c r="C523" t="s">
        <v>2545</v>
      </c>
      <c r="D523" s="7" t="s">
        <v>2222</v>
      </c>
      <c r="E523" s="7" t="s">
        <v>2223</v>
      </c>
      <c r="F523" s="18" t="s">
        <v>2221</v>
      </c>
      <c r="G523" s="7" t="s">
        <v>2584</v>
      </c>
      <c r="H523" s="85" t="s">
        <v>3527</v>
      </c>
      <c r="I523" s="85" t="s">
        <v>2728</v>
      </c>
      <c r="J523" s="85" t="s">
        <v>3528</v>
      </c>
      <c r="K523" s="85" t="s">
        <v>16</v>
      </c>
      <c r="L523" s="85">
        <v>2</v>
      </c>
      <c r="M523" s="20">
        <f>Table9[[#This Row],[Rate
(Please Select from the list)]]/5</f>
        <v>0.4</v>
      </c>
      <c r="N523" s="77">
        <v>2.86</v>
      </c>
      <c r="O523" s="74">
        <f>Table9[[#This Row],[Score %]]*Table9[[#This Row],[Item Weight
(Please Select from the list)]]</f>
        <v>1.1439999999999999</v>
      </c>
      <c r="P523" s="80">
        <v>3</v>
      </c>
      <c r="Q523" t="s">
        <v>15</v>
      </c>
      <c r="R523" t="s">
        <v>3984</v>
      </c>
      <c r="S523" t="s">
        <v>13</v>
      </c>
      <c r="T523" t="s">
        <v>3820</v>
      </c>
      <c r="U523" t="s">
        <v>30</v>
      </c>
      <c r="V523" t="s">
        <v>3831</v>
      </c>
      <c r="W523" s="88" t="s">
        <v>4034</v>
      </c>
    </row>
    <row r="524" spans="1:23" ht="14.4">
      <c r="A524" s="7" t="s">
        <v>1520</v>
      </c>
      <c r="B524" t="s">
        <v>1521</v>
      </c>
      <c r="C524" t="s">
        <v>2545</v>
      </c>
      <c r="D524" s="7" t="s">
        <v>2225</v>
      </c>
      <c r="E524" s="7" t="s">
        <v>2226</v>
      </c>
      <c r="F524" s="18" t="s">
        <v>2224</v>
      </c>
      <c r="G524" s="7" t="s">
        <v>2584</v>
      </c>
      <c r="H524" s="85" t="s">
        <v>3529</v>
      </c>
      <c r="I524" s="85" t="s">
        <v>2795</v>
      </c>
      <c r="J524" s="85" t="s">
        <v>3530</v>
      </c>
      <c r="K524" s="85" t="s">
        <v>16</v>
      </c>
      <c r="L524" s="85">
        <v>3</v>
      </c>
      <c r="M524" s="20">
        <f>Table9[[#This Row],[Rate
(Please Select from the list)]]/5</f>
        <v>0.6</v>
      </c>
      <c r="N524" s="77">
        <v>2.86</v>
      </c>
      <c r="O524" s="74">
        <f>Table9[[#This Row],[Score %]]*Table9[[#This Row],[Item Weight
(Please Select from the list)]]</f>
        <v>1.716</v>
      </c>
      <c r="P524" s="80">
        <v>3</v>
      </c>
      <c r="Q524" t="s">
        <v>46</v>
      </c>
      <c r="R524"/>
      <c r="S524" t="s">
        <v>43</v>
      </c>
      <c r="T524"/>
      <c r="U524" t="s">
        <v>58</v>
      </c>
      <c r="V524" t="s">
        <v>3817</v>
      </c>
      <c r="W524" s="88" t="s">
        <v>4034</v>
      </c>
    </row>
    <row r="525" spans="1:23" ht="14.4">
      <c r="A525" s="7" t="s">
        <v>1520</v>
      </c>
      <c r="B525" t="s">
        <v>1521</v>
      </c>
      <c r="C525" t="s">
        <v>2545</v>
      </c>
      <c r="D525" s="7" t="s">
        <v>2228</v>
      </c>
      <c r="E525" s="7" t="s">
        <v>2229</v>
      </c>
      <c r="F525" s="18" t="s">
        <v>2227</v>
      </c>
      <c r="G525" s="7" t="s">
        <v>2584</v>
      </c>
      <c r="H525" s="85" t="s">
        <v>3531</v>
      </c>
      <c r="I525" s="85" t="s">
        <v>2754</v>
      </c>
      <c r="J525" s="85" t="s">
        <v>3532</v>
      </c>
      <c r="K525" s="85" t="s">
        <v>16</v>
      </c>
      <c r="L525" s="85">
        <v>3</v>
      </c>
      <c r="M525" s="20">
        <f>Table9[[#This Row],[Rate
(Please Select from the list)]]/5</f>
        <v>0.6</v>
      </c>
      <c r="N525" s="77">
        <v>2.86</v>
      </c>
      <c r="O525" s="74">
        <f>Table9[[#This Row],[Score %]]*Table9[[#This Row],[Item Weight
(Please Select from the list)]]</f>
        <v>1.716</v>
      </c>
      <c r="P525" s="80">
        <v>3</v>
      </c>
      <c r="Q525" t="s">
        <v>46</v>
      </c>
      <c r="R525"/>
      <c r="S525" t="s">
        <v>43</v>
      </c>
      <c r="T525"/>
      <c r="U525" t="s">
        <v>44</v>
      </c>
      <c r="V525" t="s">
        <v>3839</v>
      </c>
      <c r="W525" s="88" t="s">
        <v>4034</v>
      </c>
    </row>
    <row r="526" spans="1:23" ht="14.4">
      <c r="A526" s="7" t="s">
        <v>1520</v>
      </c>
      <c r="B526" t="s">
        <v>1521</v>
      </c>
      <c r="C526" t="s">
        <v>2545</v>
      </c>
      <c r="D526" s="7" t="s">
        <v>2231</v>
      </c>
      <c r="E526" s="7" t="s">
        <v>2232</v>
      </c>
      <c r="F526" s="18" t="s">
        <v>2230</v>
      </c>
      <c r="G526" s="7" t="s">
        <v>2584</v>
      </c>
      <c r="H526" s="85" t="s">
        <v>3533</v>
      </c>
      <c r="I526" s="85" t="s">
        <v>2748</v>
      </c>
      <c r="J526" s="85" t="s">
        <v>3534</v>
      </c>
      <c r="K526" s="85" t="s">
        <v>16</v>
      </c>
      <c r="L526" s="85">
        <v>3</v>
      </c>
      <c r="M526" s="20">
        <f>Table9[[#This Row],[Rate
(Please Select from the list)]]/5</f>
        <v>0.6</v>
      </c>
      <c r="N526" s="77">
        <v>2.86</v>
      </c>
      <c r="O526" s="74">
        <f>Table9[[#This Row],[Score %]]*Table9[[#This Row],[Item Weight
(Please Select from the list)]]</f>
        <v>1.716</v>
      </c>
      <c r="P526" s="80">
        <v>3</v>
      </c>
      <c r="Q526" t="s">
        <v>59</v>
      </c>
      <c r="R526"/>
      <c r="S526" t="s">
        <v>29</v>
      </c>
      <c r="T526"/>
      <c r="U526" t="s">
        <v>44</v>
      </c>
      <c r="V526" t="s">
        <v>3813</v>
      </c>
      <c r="W526" s="88" t="s">
        <v>4034</v>
      </c>
    </row>
    <row r="527" spans="1:23" ht="14.4">
      <c r="A527" s="7" t="s">
        <v>1520</v>
      </c>
      <c r="B527" t="s">
        <v>1521</v>
      </c>
      <c r="C527" t="s">
        <v>2545</v>
      </c>
      <c r="D527" s="7" t="s">
        <v>2234</v>
      </c>
      <c r="E527" s="7" t="s">
        <v>2235</v>
      </c>
      <c r="F527" s="18" t="s">
        <v>2233</v>
      </c>
      <c r="G527" s="7" t="s">
        <v>2584</v>
      </c>
      <c r="H527" s="85" t="s">
        <v>3535</v>
      </c>
      <c r="I527" s="85" t="s">
        <v>2739</v>
      </c>
      <c r="J527" s="85"/>
      <c r="K527" s="85" t="s">
        <v>16</v>
      </c>
      <c r="L527" s="85">
        <v>4</v>
      </c>
      <c r="M527" s="20">
        <f>Table9[[#This Row],[Rate
(Please Select from the list)]]/5</f>
        <v>0.8</v>
      </c>
      <c r="N527" s="77">
        <v>2.86</v>
      </c>
      <c r="O527" s="74">
        <f>Table9[[#This Row],[Score %]]*Table9[[#This Row],[Item Weight
(Please Select from the list)]]</f>
        <v>2.2879999999999998</v>
      </c>
      <c r="P527" s="80">
        <v>3</v>
      </c>
      <c r="Q527" t="s">
        <v>15</v>
      </c>
      <c r="R527"/>
      <c r="S527" t="s">
        <v>57</v>
      </c>
      <c r="T527"/>
      <c r="U527" t="s">
        <v>44</v>
      </c>
      <c r="V527" t="s">
        <v>3812</v>
      </c>
      <c r="W527" s="88" t="s">
        <v>4034</v>
      </c>
    </row>
    <row r="528" spans="1:23" ht="14.4">
      <c r="A528" s="7" t="s">
        <v>1520</v>
      </c>
      <c r="B528" t="s">
        <v>1521</v>
      </c>
      <c r="C528" t="s">
        <v>2545</v>
      </c>
      <c r="D528" s="7" t="s">
        <v>2237</v>
      </c>
      <c r="E528" s="7" t="s">
        <v>2238</v>
      </c>
      <c r="F528" s="18" t="s">
        <v>2236</v>
      </c>
      <c r="G528" s="7" t="s">
        <v>2584</v>
      </c>
      <c r="H528" s="85" t="s">
        <v>3536</v>
      </c>
      <c r="I528" s="85" t="s">
        <v>2716</v>
      </c>
      <c r="J528" s="85"/>
      <c r="K528" s="85" t="s">
        <v>16</v>
      </c>
      <c r="L528" s="85">
        <v>4</v>
      </c>
      <c r="M528" s="20">
        <f>Table9[[#This Row],[Rate
(Please Select from the list)]]/5</f>
        <v>0.8</v>
      </c>
      <c r="N528" s="77">
        <v>2.86</v>
      </c>
      <c r="O528" s="74">
        <f>Table9[[#This Row],[Score %]]*Table9[[#This Row],[Item Weight
(Please Select from the list)]]</f>
        <v>2.2879999999999998</v>
      </c>
      <c r="P528" s="80">
        <v>3</v>
      </c>
      <c r="Q528" t="s">
        <v>46</v>
      </c>
      <c r="R528"/>
      <c r="S528" t="s">
        <v>57</v>
      </c>
      <c r="T528"/>
      <c r="U528" t="s">
        <v>44</v>
      </c>
      <c r="V528" t="s">
        <v>3812</v>
      </c>
      <c r="W528" s="88" t="s">
        <v>4034</v>
      </c>
    </row>
    <row r="529" spans="1:23" ht="14.4">
      <c r="A529" s="7" t="s">
        <v>1520</v>
      </c>
      <c r="B529" t="s">
        <v>1521</v>
      </c>
      <c r="C529" t="s">
        <v>2545</v>
      </c>
      <c r="D529" s="7" t="s">
        <v>2240</v>
      </c>
      <c r="E529" s="7" t="s">
        <v>2241</v>
      </c>
      <c r="F529" s="18" t="s">
        <v>2239</v>
      </c>
      <c r="G529" s="7" t="s">
        <v>2584</v>
      </c>
      <c r="H529" s="85" t="s">
        <v>3537</v>
      </c>
      <c r="I529" s="85" t="s">
        <v>2748</v>
      </c>
      <c r="J529" s="85"/>
      <c r="K529" s="85" t="s">
        <v>855</v>
      </c>
      <c r="L529" s="85">
        <v>5</v>
      </c>
      <c r="M529" s="20">
        <f>Table9[[#This Row],[Rate
(Please Select from the list)]]/5</f>
        <v>1</v>
      </c>
      <c r="N529" s="77">
        <v>2.86</v>
      </c>
      <c r="O529" s="74">
        <f>Table9[[#This Row],[Score %]]*Table9[[#This Row],[Item Weight
(Please Select from the list)]]</f>
        <v>2.86</v>
      </c>
      <c r="P529" s="80">
        <v>3</v>
      </c>
      <c r="Q529" t="s">
        <v>46</v>
      </c>
      <c r="R529"/>
      <c r="S529" t="s">
        <v>57</v>
      </c>
      <c r="T529"/>
      <c r="U529" t="s">
        <v>44</v>
      </c>
      <c r="V529" t="s">
        <v>3851</v>
      </c>
      <c r="W529" s="88" t="s">
        <v>4034</v>
      </c>
    </row>
    <row r="530" spans="1:23" ht="14.4">
      <c r="A530" s="7" t="s">
        <v>1520</v>
      </c>
      <c r="B530" t="s">
        <v>1521</v>
      </c>
      <c r="C530" t="s">
        <v>2545</v>
      </c>
      <c r="D530" s="7" t="s">
        <v>2243</v>
      </c>
      <c r="E530" s="7" t="s">
        <v>2244</v>
      </c>
      <c r="F530" s="18" t="s">
        <v>2242</v>
      </c>
      <c r="G530" s="7" t="s">
        <v>2584</v>
      </c>
      <c r="H530" s="85" t="s">
        <v>3538</v>
      </c>
      <c r="I530" s="85" t="s">
        <v>2716</v>
      </c>
      <c r="J530" s="85"/>
      <c r="K530" s="85" t="s">
        <v>47</v>
      </c>
      <c r="L530" s="85">
        <v>4</v>
      </c>
      <c r="M530" s="20">
        <f>Table9[[#This Row],[Rate
(Please Select from the list)]]/5</f>
        <v>0.8</v>
      </c>
      <c r="N530" s="77">
        <v>2.86</v>
      </c>
      <c r="O530" s="74">
        <f>Table9[[#This Row],[Score %]]*Table9[[#This Row],[Item Weight
(Please Select from the list)]]</f>
        <v>2.2879999999999998</v>
      </c>
      <c r="P530" s="80">
        <v>3</v>
      </c>
      <c r="Q530" t="s">
        <v>59</v>
      </c>
      <c r="R530"/>
      <c r="S530" t="s">
        <v>57</v>
      </c>
      <c r="T530"/>
      <c r="U530" t="s">
        <v>44</v>
      </c>
      <c r="V530" t="s">
        <v>3812</v>
      </c>
      <c r="W530" s="88" t="s">
        <v>4034</v>
      </c>
    </row>
    <row r="531" spans="1:23" ht="14.4">
      <c r="A531" s="7" t="s">
        <v>1520</v>
      </c>
      <c r="B531" t="s">
        <v>1521</v>
      </c>
      <c r="C531" t="s">
        <v>2545</v>
      </c>
      <c r="D531" s="7" t="s">
        <v>2246</v>
      </c>
      <c r="E531" s="7" t="s">
        <v>2247</v>
      </c>
      <c r="F531" s="18" t="s">
        <v>2245</v>
      </c>
      <c r="G531" s="7" t="s">
        <v>2584</v>
      </c>
      <c r="H531" s="85" t="s">
        <v>3539</v>
      </c>
      <c r="I531" s="85" t="s">
        <v>2748</v>
      </c>
      <c r="J531" s="85"/>
      <c r="K531" s="85" t="s">
        <v>47</v>
      </c>
      <c r="L531" s="85">
        <v>4</v>
      </c>
      <c r="M531" s="20">
        <f>Table9[[#This Row],[Rate
(Please Select from the list)]]/5</f>
        <v>0.8</v>
      </c>
      <c r="N531" s="77">
        <v>2.86</v>
      </c>
      <c r="O531" s="74">
        <f>Table9[[#This Row],[Score %]]*Table9[[#This Row],[Item Weight
(Please Select from the list)]]</f>
        <v>2.2879999999999998</v>
      </c>
      <c r="P531" s="80">
        <v>3</v>
      </c>
      <c r="Q531" t="s">
        <v>46</v>
      </c>
      <c r="R531"/>
      <c r="S531" t="s">
        <v>43</v>
      </c>
      <c r="T531"/>
      <c r="U531" t="s">
        <v>44</v>
      </c>
      <c r="V531" t="s">
        <v>3812</v>
      </c>
      <c r="W531" s="88" t="s">
        <v>4034</v>
      </c>
    </row>
    <row r="532" spans="1:23" ht="14.4">
      <c r="A532" s="7" t="s">
        <v>1520</v>
      </c>
      <c r="B532" t="s">
        <v>1521</v>
      </c>
      <c r="C532" t="s">
        <v>2545</v>
      </c>
      <c r="D532" s="7" t="s">
        <v>2249</v>
      </c>
      <c r="E532" s="7" t="s">
        <v>1863</v>
      </c>
      <c r="F532" s="18" t="s">
        <v>2248</v>
      </c>
      <c r="G532" s="7" t="s">
        <v>2584</v>
      </c>
      <c r="H532" s="85" t="s">
        <v>3540</v>
      </c>
      <c r="I532" s="85" t="s">
        <v>2731</v>
      </c>
      <c r="J532" s="85" t="s">
        <v>3541</v>
      </c>
      <c r="K532" s="85" t="s">
        <v>16</v>
      </c>
      <c r="L532" s="85">
        <v>1</v>
      </c>
      <c r="M532" s="20">
        <f>Table9[[#This Row],[Rate
(Please Select from the list)]]/5</f>
        <v>0.2</v>
      </c>
      <c r="N532" s="77">
        <v>2.86</v>
      </c>
      <c r="O532" s="74">
        <f>Table9[[#This Row],[Score %]]*Table9[[#This Row],[Item Weight
(Please Select from the list)]]</f>
        <v>0.57199999999999995</v>
      </c>
      <c r="P532" s="80">
        <v>3</v>
      </c>
      <c r="Q532" t="s">
        <v>46</v>
      </c>
      <c r="R532" t="s">
        <v>3985</v>
      </c>
      <c r="S532" t="s">
        <v>13</v>
      </c>
      <c r="T532" t="s">
        <v>3820</v>
      </c>
      <c r="U532" t="s">
        <v>14</v>
      </c>
      <c r="V532" t="s">
        <v>3947</v>
      </c>
      <c r="W532" s="88" t="s">
        <v>4034</v>
      </c>
    </row>
    <row r="533" spans="1:23" ht="14.4">
      <c r="A533" s="7" t="s">
        <v>1520</v>
      </c>
      <c r="B533" t="s">
        <v>1521</v>
      </c>
      <c r="C533" t="s">
        <v>2545</v>
      </c>
      <c r="D533" s="7" t="s">
        <v>2250</v>
      </c>
      <c r="E533" s="7" t="s">
        <v>2251</v>
      </c>
      <c r="F533" s="18" t="s">
        <v>1864</v>
      </c>
      <c r="G533" s="7" t="s">
        <v>2584</v>
      </c>
      <c r="H533" s="85" t="s">
        <v>3542</v>
      </c>
      <c r="I533" s="85" t="s">
        <v>2748</v>
      </c>
      <c r="J533" s="85"/>
      <c r="K533" s="85" t="s">
        <v>16</v>
      </c>
      <c r="L533" s="85">
        <v>4</v>
      </c>
      <c r="M533" s="20">
        <f>Table9[[#This Row],[Rate
(Please Select from the list)]]/5</f>
        <v>0.8</v>
      </c>
      <c r="N533" s="77">
        <v>2.86</v>
      </c>
      <c r="O533" s="74">
        <f>Table9[[#This Row],[Score %]]*Table9[[#This Row],[Item Weight
(Please Select from the list)]]</f>
        <v>2.2879999999999998</v>
      </c>
      <c r="P533" s="80">
        <v>3</v>
      </c>
      <c r="Q533" t="s">
        <v>59</v>
      </c>
      <c r="R533"/>
      <c r="S533" t="s">
        <v>43</v>
      </c>
      <c r="T533"/>
      <c r="U533" t="s">
        <v>44</v>
      </c>
      <c r="V533" t="s">
        <v>3812</v>
      </c>
      <c r="W533" s="88" t="s">
        <v>4034</v>
      </c>
    </row>
    <row r="534" spans="1:23" ht="14.4">
      <c r="A534" s="7" t="s">
        <v>1520</v>
      </c>
      <c r="B534" t="s">
        <v>1521</v>
      </c>
      <c r="C534" t="s">
        <v>2545</v>
      </c>
      <c r="D534" s="7" t="s">
        <v>2253</v>
      </c>
      <c r="E534" s="7" t="s">
        <v>82</v>
      </c>
      <c r="F534" s="18" t="s">
        <v>2252</v>
      </c>
      <c r="G534" s="7" t="s">
        <v>2584</v>
      </c>
      <c r="H534" s="85" t="s">
        <v>3543</v>
      </c>
      <c r="I534" s="85" t="s">
        <v>2718</v>
      </c>
      <c r="J534" s="85" t="s">
        <v>3544</v>
      </c>
      <c r="K534" s="85" t="s">
        <v>16</v>
      </c>
      <c r="L534" s="85">
        <v>2</v>
      </c>
      <c r="M534" s="20">
        <f>Table9[[#This Row],[Rate
(Please Select from the list)]]/5</f>
        <v>0.4</v>
      </c>
      <c r="N534" s="77">
        <v>2.86</v>
      </c>
      <c r="O534" s="74">
        <f>Table9[[#This Row],[Score %]]*Table9[[#This Row],[Item Weight
(Please Select from the list)]]</f>
        <v>1.1439999999999999</v>
      </c>
      <c r="P534" s="80">
        <v>3</v>
      </c>
      <c r="Q534" t="s">
        <v>15</v>
      </c>
      <c r="R534" t="s">
        <v>3986</v>
      </c>
      <c r="S534" t="s">
        <v>29</v>
      </c>
      <c r="T534" s="86">
        <v>45421</v>
      </c>
      <c r="U534" t="s">
        <v>30</v>
      </c>
      <c r="V534" t="s">
        <v>3834</v>
      </c>
      <c r="W534" s="88" t="s">
        <v>4034</v>
      </c>
    </row>
    <row r="535" spans="1:23" ht="14.4">
      <c r="A535" s="7" t="s">
        <v>1520</v>
      </c>
      <c r="B535" t="s">
        <v>1521</v>
      </c>
      <c r="C535" t="s">
        <v>2545</v>
      </c>
      <c r="D535" s="7" t="s">
        <v>2255</v>
      </c>
      <c r="E535" s="7" t="s">
        <v>2256</v>
      </c>
      <c r="F535" s="18" t="s">
        <v>2254</v>
      </c>
      <c r="G535" s="7" t="s">
        <v>2584</v>
      </c>
      <c r="H535" s="85" t="s">
        <v>3545</v>
      </c>
      <c r="I535" s="85" t="s">
        <v>2739</v>
      </c>
      <c r="J535" s="85"/>
      <c r="K535" s="85" t="s">
        <v>855</v>
      </c>
      <c r="L535" s="85">
        <v>4</v>
      </c>
      <c r="M535" s="20">
        <f>Table9[[#This Row],[Rate
(Please Select from the list)]]/5</f>
        <v>0.8</v>
      </c>
      <c r="N535" s="77">
        <v>2.86</v>
      </c>
      <c r="O535" s="74">
        <f>Table9[[#This Row],[Score %]]*Table9[[#This Row],[Item Weight
(Please Select from the list)]]</f>
        <v>2.2879999999999998</v>
      </c>
      <c r="P535" s="80">
        <v>3</v>
      </c>
      <c r="Q535" t="s">
        <v>59</v>
      </c>
      <c r="R535"/>
      <c r="S535" t="s">
        <v>57</v>
      </c>
      <c r="T535"/>
      <c r="U535" t="s">
        <v>44</v>
      </c>
      <c r="V535" t="s">
        <v>3812</v>
      </c>
      <c r="W535" s="88" t="s">
        <v>4034</v>
      </c>
    </row>
    <row r="536" spans="1:23" ht="14.4">
      <c r="A536" s="7" t="s">
        <v>1520</v>
      </c>
      <c r="B536" t="s">
        <v>1521</v>
      </c>
      <c r="C536" t="s">
        <v>2545</v>
      </c>
      <c r="D536" s="7" t="s">
        <v>2258</v>
      </c>
      <c r="E536" s="7" t="s">
        <v>2259</v>
      </c>
      <c r="F536" s="18" t="s">
        <v>2257</v>
      </c>
      <c r="G536" s="7" t="s">
        <v>2584</v>
      </c>
      <c r="H536" s="85" t="s">
        <v>3546</v>
      </c>
      <c r="I536" s="85" t="s">
        <v>2754</v>
      </c>
      <c r="J536" s="85"/>
      <c r="K536" s="85" t="s">
        <v>16</v>
      </c>
      <c r="L536" s="85">
        <v>4</v>
      </c>
      <c r="M536" s="20">
        <f>Table9[[#This Row],[Rate
(Please Select from the list)]]/5</f>
        <v>0.8</v>
      </c>
      <c r="N536" s="77">
        <v>2.86</v>
      </c>
      <c r="O536" s="74">
        <f>Table9[[#This Row],[Score %]]*Table9[[#This Row],[Item Weight
(Please Select from the list)]]</f>
        <v>2.2879999999999998</v>
      </c>
      <c r="P536" s="80">
        <v>3</v>
      </c>
      <c r="Q536" t="s">
        <v>15</v>
      </c>
      <c r="R536"/>
      <c r="S536" t="s">
        <v>57</v>
      </c>
      <c r="T536"/>
      <c r="U536" t="s">
        <v>44</v>
      </c>
      <c r="V536" t="s">
        <v>3812</v>
      </c>
      <c r="W536" s="88" t="s">
        <v>4034</v>
      </c>
    </row>
    <row r="537" spans="1:23" ht="14.4">
      <c r="A537" s="7" t="s">
        <v>1520</v>
      </c>
      <c r="B537" t="s">
        <v>1521</v>
      </c>
      <c r="C537" t="s">
        <v>2545</v>
      </c>
      <c r="D537" s="7" t="s">
        <v>2261</v>
      </c>
      <c r="E537" s="7" t="s">
        <v>2262</v>
      </c>
      <c r="F537" s="18" t="s">
        <v>2260</v>
      </c>
      <c r="G537" s="7" t="s">
        <v>2584</v>
      </c>
      <c r="H537" s="85" t="s">
        <v>3547</v>
      </c>
      <c r="I537" s="85" t="s">
        <v>2754</v>
      </c>
      <c r="J537" s="85"/>
      <c r="K537" s="85" t="s">
        <v>16</v>
      </c>
      <c r="L537" s="85">
        <v>4</v>
      </c>
      <c r="M537" s="20">
        <f>Table9[[#This Row],[Rate
(Please Select from the list)]]/5</f>
        <v>0.8</v>
      </c>
      <c r="N537" s="77">
        <v>2.86</v>
      </c>
      <c r="O537" s="74">
        <f>Table9[[#This Row],[Score %]]*Table9[[#This Row],[Item Weight
(Please Select from the list)]]</f>
        <v>2.2879999999999998</v>
      </c>
      <c r="P537" s="80">
        <v>3</v>
      </c>
      <c r="Q537" t="s">
        <v>46</v>
      </c>
      <c r="R537"/>
      <c r="S537" t="s">
        <v>57</v>
      </c>
      <c r="T537"/>
      <c r="U537" t="s">
        <v>58</v>
      </c>
      <c r="V537" t="s">
        <v>3812</v>
      </c>
      <c r="W537" s="88" t="s">
        <v>4034</v>
      </c>
    </row>
    <row r="538" spans="1:23" ht="14.4">
      <c r="A538" s="7" t="s">
        <v>1520</v>
      </c>
      <c r="B538" t="s">
        <v>1521</v>
      </c>
      <c r="C538" t="s">
        <v>2545</v>
      </c>
      <c r="D538" s="7" t="s">
        <v>2264</v>
      </c>
      <c r="E538" s="7" t="s">
        <v>2265</v>
      </c>
      <c r="F538" s="18" t="s">
        <v>2263</v>
      </c>
      <c r="G538" s="7" t="s">
        <v>2584</v>
      </c>
      <c r="H538" s="85" t="s">
        <v>3548</v>
      </c>
      <c r="I538" s="85" t="s">
        <v>2731</v>
      </c>
      <c r="J538" s="85" t="s">
        <v>3549</v>
      </c>
      <c r="K538" s="85" t="s">
        <v>16</v>
      </c>
      <c r="L538" s="85">
        <v>3</v>
      </c>
      <c r="M538" s="20">
        <f>Table9[[#This Row],[Rate
(Please Select from the list)]]/5</f>
        <v>0.6</v>
      </c>
      <c r="N538" s="77">
        <v>2.86</v>
      </c>
      <c r="O538" s="74">
        <f>Table9[[#This Row],[Score %]]*Table9[[#This Row],[Item Weight
(Please Select from the list)]]</f>
        <v>1.716</v>
      </c>
      <c r="P538" s="80">
        <v>3</v>
      </c>
      <c r="Q538" t="s">
        <v>31</v>
      </c>
      <c r="R538"/>
      <c r="S538" t="s">
        <v>43</v>
      </c>
      <c r="T538"/>
      <c r="U538" t="s">
        <v>44</v>
      </c>
      <c r="V538" t="s">
        <v>3815</v>
      </c>
      <c r="W538" s="88" t="s">
        <v>4034</v>
      </c>
    </row>
    <row r="539" spans="1:23" ht="14.4">
      <c r="A539" s="7" t="s">
        <v>1520</v>
      </c>
      <c r="B539" t="s">
        <v>1521</v>
      </c>
      <c r="C539" t="s">
        <v>2545</v>
      </c>
      <c r="D539" s="7" t="s">
        <v>2267</v>
      </c>
      <c r="E539" s="7" t="s">
        <v>2268</v>
      </c>
      <c r="F539" s="18" t="s">
        <v>2266</v>
      </c>
      <c r="G539" s="7" t="s">
        <v>2584</v>
      </c>
      <c r="H539" s="85" t="s">
        <v>3550</v>
      </c>
      <c r="I539" s="85" t="s">
        <v>2795</v>
      </c>
      <c r="J539" s="85" t="s">
        <v>3551</v>
      </c>
      <c r="K539" s="85" t="s">
        <v>16</v>
      </c>
      <c r="L539" s="85">
        <v>3</v>
      </c>
      <c r="M539" s="20">
        <f>Table9[[#This Row],[Rate
(Please Select from the list)]]/5</f>
        <v>0.6</v>
      </c>
      <c r="N539" s="77">
        <v>2.86</v>
      </c>
      <c r="O539" s="74">
        <f>Table9[[#This Row],[Score %]]*Table9[[#This Row],[Item Weight
(Please Select from the list)]]</f>
        <v>1.716</v>
      </c>
      <c r="P539" s="80">
        <v>3</v>
      </c>
      <c r="Q539" t="s">
        <v>46</v>
      </c>
      <c r="R539"/>
      <c r="S539" t="s">
        <v>43</v>
      </c>
      <c r="T539"/>
      <c r="U539" t="s">
        <v>44</v>
      </c>
      <c r="V539" t="s">
        <v>3813</v>
      </c>
      <c r="W539" s="88" t="s">
        <v>4034</v>
      </c>
    </row>
    <row r="540" spans="1:23" ht="14.4">
      <c r="A540" s="7" t="s">
        <v>1520</v>
      </c>
      <c r="B540" t="s">
        <v>1521</v>
      </c>
      <c r="C540" t="s">
        <v>2545</v>
      </c>
      <c r="D540" s="7" t="s">
        <v>2270</v>
      </c>
      <c r="E540" s="7" t="s">
        <v>2271</v>
      </c>
      <c r="F540" s="18" t="s">
        <v>2269</v>
      </c>
      <c r="G540" s="7" t="s">
        <v>2584</v>
      </c>
      <c r="H540" s="85" t="s">
        <v>3552</v>
      </c>
      <c r="I540" s="85" t="s">
        <v>2725</v>
      </c>
      <c r="J540" s="85"/>
      <c r="K540" s="85" t="s">
        <v>16</v>
      </c>
      <c r="L540" s="85">
        <v>4</v>
      </c>
      <c r="M540" s="20">
        <f>Table9[[#This Row],[Rate
(Please Select from the list)]]/5</f>
        <v>0.8</v>
      </c>
      <c r="N540" s="77">
        <v>2.86</v>
      </c>
      <c r="O540" s="74">
        <f>Table9[[#This Row],[Score %]]*Table9[[#This Row],[Item Weight
(Please Select from the list)]]</f>
        <v>2.2879999999999998</v>
      </c>
      <c r="P540" s="80">
        <v>3</v>
      </c>
      <c r="Q540" t="s">
        <v>46</v>
      </c>
      <c r="R540"/>
      <c r="S540" t="s">
        <v>57</v>
      </c>
      <c r="T540"/>
      <c r="U540" t="s">
        <v>58</v>
      </c>
      <c r="V540" t="s">
        <v>3812</v>
      </c>
      <c r="W540" s="88" t="s">
        <v>4034</v>
      </c>
    </row>
    <row r="541" spans="1:23" ht="14.4">
      <c r="A541" s="7" t="s">
        <v>1520</v>
      </c>
      <c r="B541" t="s">
        <v>1521</v>
      </c>
      <c r="C541" t="s">
        <v>2545</v>
      </c>
      <c r="D541" s="7" t="s">
        <v>2273</v>
      </c>
      <c r="E541" s="7" t="s">
        <v>1913</v>
      </c>
      <c r="F541" s="18" t="s">
        <v>2272</v>
      </c>
      <c r="G541" s="7" t="s">
        <v>2584</v>
      </c>
      <c r="H541" s="85" t="s">
        <v>3553</v>
      </c>
      <c r="I541" s="85" t="s">
        <v>2754</v>
      </c>
      <c r="J541" s="85" t="s">
        <v>3554</v>
      </c>
      <c r="K541" s="85" t="s">
        <v>16</v>
      </c>
      <c r="L541" s="85">
        <v>3</v>
      </c>
      <c r="M541" s="20">
        <f>Table9[[#This Row],[Rate
(Please Select from the list)]]/5</f>
        <v>0.6</v>
      </c>
      <c r="N541" s="77">
        <v>2.86</v>
      </c>
      <c r="O541" s="74">
        <f>Table9[[#This Row],[Score %]]*Table9[[#This Row],[Item Weight
(Please Select from the list)]]</f>
        <v>1.716</v>
      </c>
      <c r="P541" s="80">
        <v>3</v>
      </c>
      <c r="Q541" t="s">
        <v>46</v>
      </c>
      <c r="R541"/>
      <c r="S541" t="s">
        <v>43</v>
      </c>
      <c r="T541"/>
      <c r="U541" t="s">
        <v>58</v>
      </c>
      <c r="V541" t="s">
        <v>3815</v>
      </c>
      <c r="W541" s="88" t="s">
        <v>4034</v>
      </c>
    </row>
    <row r="542" spans="1:23" ht="14.4">
      <c r="A542" s="7" t="s">
        <v>1520</v>
      </c>
      <c r="B542" t="s">
        <v>1521</v>
      </c>
      <c r="C542" t="s">
        <v>2545</v>
      </c>
      <c r="D542" s="7" t="s">
        <v>2275</v>
      </c>
      <c r="E542" s="7" t="s">
        <v>2276</v>
      </c>
      <c r="F542" s="18" t="s">
        <v>2274</v>
      </c>
      <c r="G542" s="7" t="s">
        <v>2584</v>
      </c>
      <c r="H542" s="85" t="s">
        <v>3555</v>
      </c>
      <c r="I542" s="85" t="s">
        <v>2716</v>
      </c>
      <c r="J542" s="85" t="s">
        <v>3556</v>
      </c>
      <c r="K542" s="85" t="s">
        <v>16</v>
      </c>
      <c r="L542" s="85">
        <v>2</v>
      </c>
      <c r="M542" s="20">
        <f>Table9[[#This Row],[Rate
(Please Select from the list)]]/5</f>
        <v>0.4</v>
      </c>
      <c r="N542" s="77">
        <v>2.86</v>
      </c>
      <c r="O542" s="74">
        <f>Table9[[#This Row],[Score %]]*Table9[[#This Row],[Item Weight
(Please Select from the list)]]</f>
        <v>1.1439999999999999</v>
      </c>
      <c r="P542" s="80">
        <v>3</v>
      </c>
      <c r="Q542" t="s">
        <v>46</v>
      </c>
      <c r="R542" t="s">
        <v>3987</v>
      </c>
      <c r="S542" t="s">
        <v>29</v>
      </c>
      <c r="T542" s="86">
        <v>45421</v>
      </c>
      <c r="U542" t="s">
        <v>14</v>
      </c>
      <c r="V542" t="s">
        <v>3831</v>
      </c>
      <c r="W542" s="88" t="s">
        <v>4034</v>
      </c>
    </row>
    <row r="543" spans="1:23" ht="14.4">
      <c r="A543" s="7" t="s">
        <v>1520</v>
      </c>
      <c r="B543" t="s">
        <v>1521</v>
      </c>
      <c r="C543" t="s">
        <v>2545</v>
      </c>
      <c r="D543" s="7" t="s">
        <v>2278</v>
      </c>
      <c r="E543" s="7" t="s">
        <v>2279</v>
      </c>
      <c r="F543" s="18" t="s">
        <v>2277</v>
      </c>
      <c r="G543" s="7" t="s">
        <v>2584</v>
      </c>
      <c r="H543" s="85" t="s">
        <v>3557</v>
      </c>
      <c r="I543" s="85" t="s">
        <v>2736</v>
      </c>
      <c r="J543" s="85" t="s">
        <v>3558</v>
      </c>
      <c r="K543" s="85" t="s">
        <v>16</v>
      </c>
      <c r="L543" s="85">
        <v>2</v>
      </c>
      <c r="M543" s="20">
        <f>Table9[[#This Row],[Rate
(Please Select from the list)]]/5</f>
        <v>0.4</v>
      </c>
      <c r="N543" s="77">
        <v>2.86</v>
      </c>
      <c r="O543" s="74">
        <f>Table9[[#This Row],[Score %]]*Table9[[#This Row],[Item Weight
(Please Select from the list)]]</f>
        <v>1.1439999999999999</v>
      </c>
      <c r="P543" s="80">
        <v>3</v>
      </c>
      <c r="Q543" t="s">
        <v>15</v>
      </c>
      <c r="R543"/>
      <c r="S543" t="s">
        <v>29</v>
      </c>
      <c r="T543"/>
      <c r="U543" t="s">
        <v>44</v>
      </c>
      <c r="V543" t="s">
        <v>3859</v>
      </c>
      <c r="W543" s="88" t="s">
        <v>4034</v>
      </c>
    </row>
    <row r="544" spans="1:23" ht="14.4">
      <c r="A544" s="7" t="s">
        <v>1520</v>
      </c>
      <c r="B544" t="s">
        <v>1521</v>
      </c>
      <c r="C544" t="s">
        <v>2545</v>
      </c>
      <c r="D544" s="7" t="s">
        <v>2281</v>
      </c>
      <c r="E544" s="7" t="s">
        <v>2282</v>
      </c>
      <c r="F544" s="18" t="s">
        <v>2280</v>
      </c>
      <c r="G544" s="7" t="s">
        <v>2584</v>
      </c>
      <c r="H544" s="85" t="s">
        <v>3559</v>
      </c>
      <c r="I544" s="85" t="s">
        <v>2736</v>
      </c>
      <c r="J544" s="85" t="s">
        <v>3560</v>
      </c>
      <c r="K544" s="85" t="s">
        <v>16</v>
      </c>
      <c r="L544" s="85">
        <v>3</v>
      </c>
      <c r="M544" s="20">
        <f>Table9[[#This Row],[Rate
(Please Select from the list)]]/5</f>
        <v>0.6</v>
      </c>
      <c r="N544" s="77">
        <v>2.86</v>
      </c>
      <c r="O544" s="74">
        <f>Table9[[#This Row],[Score %]]*Table9[[#This Row],[Item Weight
(Please Select from the list)]]</f>
        <v>1.716</v>
      </c>
      <c r="P544" s="80">
        <v>3</v>
      </c>
      <c r="Q544" t="s">
        <v>31</v>
      </c>
      <c r="R544"/>
      <c r="S544" t="s">
        <v>43</v>
      </c>
      <c r="T544"/>
      <c r="U544" t="s">
        <v>58</v>
      </c>
      <c r="V544" t="s">
        <v>3825</v>
      </c>
      <c r="W544" s="88" t="s">
        <v>4034</v>
      </c>
    </row>
    <row r="545" spans="1:23" ht="14.4">
      <c r="A545" s="7" t="s">
        <v>1520</v>
      </c>
      <c r="B545" t="s">
        <v>1521</v>
      </c>
      <c r="C545" t="s">
        <v>2545</v>
      </c>
      <c r="D545" s="7" t="s">
        <v>2284</v>
      </c>
      <c r="E545" s="7" t="s">
        <v>2285</v>
      </c>
      <c r="F545" s="18" t="s">
        <v>2283</v>
      </c>
      <c r="G545" s="7" t="s">
        <v>2584</v>
      </c>
      <c r="H545" s="85" t="s">
        <v>3561</v>
      </c>
      <c r="I545" s="85" t="s">
        <v>2736</v>
      </c>
      <c r="J545" s="85" t="s">
        <v>3562</v>
      </c>
      <c r="K545" s="85" t="s">
        <v>16</v>
      </c>
      <c r="L545" s="85">
        <v>2</v>
      </c>
      <c r="M545" s="20">
        <f>Table9[[#This Row],[Rate
(Please Select from the list)]]/5</f>
        <v>0.4</v>
      </c>
      <c r="N545" s="77">
        <v>2.86</v>
      </c>
      <c r="O545" s="74">
        <f>Table9[[#This Row],[Score %]]*Table9[[#This Row],[Item Weight
(Please Select from the list)]]</f>
        <v>1.1439999999999999</v>
      </c>
      <c r="P545" s="80">
        <v>3</v>
      </c>
      <c r="Q545" t="s">
        <v>15</v>
      </c>
      <c r="R545" t="s">
        <v>3988</v>
      </c>
      <c r="S545" t="s">
        <v>29</v>
      </c>
      <c r="T545" s="86">
        <v>45421</v>
      </c>
      <c r="U545" t="s">
        <v>30</v>
      </c>
      <c r="V545" t="s">
        <v>3859</v>
      </c>
      <c r="W545" s="88" t="s">
        <v>4034</v>
      </c>
    </row>
    <row r="546" spans="1:23" ht="14.4">
      <c r="A546" s="7" t="s">
        <v>1520</v>
      </c>
      <c r="B546" t="s">
        <v>1521</v>
      </c>
      <c r="C546" t="s">
        <v>2545</v>
      </c>
      <c r="D546" s="7" t="s">
        <v>2287</v>
      </c>
      <c r="E546" s="7" t="s">
        <v>2288</v>
      </c>
      <c r="F546" s="18" t="s">
        <v>2286</v>
      </c>
      <c r="G546" s="7" t="s">
        <v>2584</v>
      </c>
      <c r="H546" s="85" t="s">
        <v>3563</v>
      </c>
      <c r="I546" s="85" t="s">
        <v>2716</v>
      </c>
      <c r="J546" s="85" t="s">
        <v>3564</v>
      </c>
      <c r="K546" s="85" t="s">
        <v>16</v>
      </c>
      <c r="L546" s="85">
        <v>3</v>
      </c>
      <c r="M546" s="20">
        <f>Table9[[#This Row],[Rate
(Please Select from the list)]]/5</f>
        <v>0.6</v>
      </c>
      <c r="N546" s="77">
        <v>2.86</v>
      </c>
      <c r="O546" s="74">
        <f>Table9[[#This Row],[Score %]]*Table9[[#This Row],[Item Weight
(Please Select from the list)]]</f>
        <v>1.716</v>
      </c>
      <c r="P546" s="80">
        <v>3</v>
      </c>
      <c r="Q546" t="s">
        <v>46</v>
      </c>
      <c r="R546"/>
      <c r="S546" t="s">
        <v>43</v>
      </c>
      <c r="T546"/>
      <c r="U546" t="s">
        <v>58</v>
      </c>
      <c r="V546" t="s">
        <v>3815</v>
      </c>
      <c r="W546" s="88" t="s">
        <v>4034</v>
      </c>
    </row>
    <row r="547" spans="1:23" ht="14.4">
      <c r="A547" s="7" t="s">
        <v>1520</v>
      </c>
      <c r="B547" t="s">
        <v>1521</v>
      </c>
      <c r="C547" t="s">
        <v>2545</v>
      </c>
      <c r="D547" s="7" t="s">
        <v>2290</v>
      </c>
      <c r="E547" s="7" t="s">
        <v>2291</v>
      </c>
      <c r="F547" s="18" t="s">
        <v>2289</v>
      </c>
      <c r="G547" s="7" t="s">
        <v>2584</v>
      </c>
      <c r="H547" s="85" t="s">
        <v>3565</v>
      </c>
      <c r="I547" s="85" t="s">
        <v>2736</v>
      </c>
      <c r="J547" s="85"/>
      <c r="K547" s="85" t="s">
        <v>47</v>
      </c>
      <c r="L547" s="85">
        <v>4</v>
      </c>
      <c r="M547" s="20">
        <f>Table9[[#This Row],[Rate
(Please Select from the list)]]/5</f>
        <v>0.8</v>
      </c>
      <c r="N547" s="77">
        <v>2.86</v>
      </c>
      <c r="O547" s="74">
        <f>Table9[[#This Row],[Score %]]*Table9[[#This Row],[Item Weight
(Please Select from the list)]]</f>
        <v>2.2879999999999998</v>
      </c>
      <c r="P547" s="80">
        <v>3</v>
      </c>
      <c r="Q547" t="s">
        <v>15</v>
      </c>
      <c r="R547"/>
      <c r="S547" t="s">
        <v>57</v>
      </c>
      <c r="T547"/>
      <c r="U547" t="s">
        <v>58</v>
      </c>
      <c r="V547" t="s">
        <v>3812</v>
      </c>
      <c r="W547" s="88" t="s">
        <v>4034</v>
      </c>
    </row>
    <row r="548" spans="1:23" ht="14.4">
      <c r="A548" s="7" t="s">
        <v>1520</v>
      </c>
      <c r="B548" t="s">
        <v>1521</v>
      </c>
      <c r="C548" t="s">
        <v>2545</v>
      </c>
      <c r="D548" s="7" t="s">
        <v>2293</v>
      </c>
      <c r="E548" s="7" t="s">
        <v>2294</v>
      </c>
      <c r="F548" s="18" t="s">
        <v>2292</v>
      </c>
      <c r="G548" s="7" t="s">
        <v>2584</v>
      </c>
      <c r="H548" s="85" t="s">
        <v>3566</v>
      </c>
      <c r="I548" s="85" t="s">
        <v>2716</v>
      </c>
      <c r="J548" s="85" t="s">
        <v>3567</v>
      </c>
      <c r="K548" s="85" t="s">
        <v>16</v>
      </c>
      <c r="L548" s="85">
        <v>3</v>
      </c>
      <c r="M548" s="20">
        <f>Table9[[#This Row],[Rate
(Please Select from the list)]]/5</f>
        <v>0.6</v>
      </c>
      <c r="N548" s="77">
        <v>2.86</v>
      </c>
      <c r="O548" s="74">
        <f>Table9[[#This Row],[Score %]]*Table9[[#This Row],[Item Weight
(Please Select from the list)]]</f>
        <v>1.716</v>
      </c>
      <c r="P548" s="80">
        <v>3</v>
      </c>
      <c r="Q548" t="s">
        <v>15</v>
      </c>
      <c r="R548"/>
      <c r="S548" t="s">
        <v>43</v>
      </c>
      <c r="T548"/>
      <c r="U548" t="s">
        <v>58</v>
      </c>
      <c r="V548" t="s">
        <v>3817</v>
      </c>
      <c r="W548" s="88" t="s">
        <v>4034</v>
      </c>
    </row>
    <row r="549" spans="1:23" ht="14.4">
      <c r="A549" s="7" t="s">
        <v>1520</v>
      </c>
      <c r="B549" t="s">
        <v>1521</v>
      </c>
      <c r="C549" t="s">
        <v>2545</v>
      </c>
      <c r="D549" s="7" t="s">
        <v>2296</v>
      </c>
      <c r="E549" s="7" t="s">
        <v>2297</v>
      </c>
      <c r="F549" s="18" t="s">
        <v>2295</v>
      </c>
      <c r="G549" s="7" t="s">
        <v>2584</v>
      </c>
      <c r="H549" s="85" t="s">
        <v>3568</v>
      </c>
      <c r="I549" s="85" t="s">
        <v>2739</v>
      </c>
      <c r="J549" s="85"/>
      <c r="K549" s="85" t="s">
        <v>855</v>
      </c>
      <c r="L549" s="85">
        <v>4</v>
      </c>
      <c r="M549" s="20">
        <f>Table9[[#This Row],[Rate
(Please Select from the list)]]/5</f>
        <v>0.8</v>
      </c>
      <c r="N549" s="77">
        <v>2.86</v>
      </c>
      <c r="O549" s="74">
        <f>Table9[[#This Row],[Score %]]*Table9[[#This Row],[Item Weight
(Please Select from the list)]]</f>
        <v>2.2879999999999998</v>
      </c>
      <c r="P549" s="80">
        <v>3</v>
      </c>
      <c r="Q549" t="s">
        <v>46</v>
      </c>
      <c r="R549"/>
      <c r="S549" t="s">
        <v>57</v>
      </c>
      <c r="T549"/>
      <c r="U549" t="s">
        <v>44</v>
      </c>
      <c r="V549" t="s">
        <v>3812</v>
      </c>
      <c r="W549" s="88" t="s">
        <v>4034</v>
      </c>
    </row>
    <row r="550" spans="1:23" ht="14.4">
      <c r="A550" s="7" t="s">
        <v>1520</v>
      </c>
      <c r="B550" t="s">
        <v>1521</v>
      </c>
      <c r="C550" t="s">
        <v>2545</v>
      </c>
      <c r="D550" s="7" t="s">
        <v>2299</v>
      </c>
      <c r="E550" s="7" t="s">
        <v>95</v>
      </c>
      <c r="F550" s="18" t="s">
        <v>2298</v>
      </c>
      <c r="G550" s="7" t="s">
        <v>2584</v>
      </c>
      <c r="H550" s="85" t="s">
        <v>3569</v>
      </c>
      <c r="I550" s="85" t="s">
        <v>2731</v>
      </c>
      <c r="J550" s="85" t="s">
        <v>3570</v>
      </c>
      <c r="K550" s="85" t="s">
        <v>16</v>
      </c>
      <c r="L550" s="85">
        <v>3</v>
      </c>
      <c r="M550" s="20">
        <f>Table9[[#This Row],[Rate
(Please Select from the list)]]/5</f>
        <v>0.6</v>
      </c>
      <c r="N550" s="77">
        <v>2.86</v>
      </c>
      <c r="O550" s="74">
        <f>Table9[[#This Row],[Score %]]*Table9[[#This Row],[Item Weight
(Please Select from the list)]]</f>
        <v>1.716</v>
      </c>
      <c r="P550" s="80">
        <v>3</v>
      </c>
      <c r="Q550" t="s">
        <v>46</v>
      </c>
      <c r="R550" t="s">
        <v>3989</v>
      </c>
      <c r="S550" t="s">
        <v>43</v>
      </c>
      <c r="T550" t="s">
        <v>3844</v>
      </c>
      <c r="U550" t="s">
        <v>30</v>
      </c>
      <c r="V550" t="s">
        <v>3825</v>
      </c>
      <c r="W550" s="88" t="s">
        <v>4034</v>
      </c>
    </row>
    <row r="551" spans="1:23" ht="14.4">
      <c r="A551" s="7" t="s">
        <v>1520</v>
      </c>
      <c r="B551" t="s">
        <v>1521</v>
      </c>
      <c r="C551" t="s">
        <v>2545</v>
      </c>
      <c r="D551" s="7" t="s">
        <v>2300</v>
      </c>
      <c r="E551" s="7" t="s">
        <v>2301</v>
      </c>
      <c r="F551" s="18" t="s">
        <v>1917</v>
      </c>
      <c r="G551" s="7" t="s">
        <v>2584</v>
      </c>
      <c r="H551" s="85" t="s">
        <v>3571</v>
      </c>
      <c r="I551" s="85" t="s">
        <v>2754</v>
      </c>
      <c r="J551" s="85" t="s">
        <v>3572</v>
      </c>
      <c r="K551" s="85" t="s">
        <v>16</v>
      </c>
      <c r="L551" s="85">
        <v>3</v>
      </c>
      <c r="M551" s="20">
        <f>Table9[[#This Row],[Rate
(Please Select from the list)]]/5</f>
        <v>0.6</v>
      </c>
      <c r="N551" s="77">
        <v>2.86</v>
      </c>
      <c r="O551" s="74">
        <f>Table9[[#This Row],[Score %]]*Table9[[#This Row],[Item Weight
(Please Select from the list)]]</f>
        <v>1.716</v>
      </c>
      <c r="P551" s="80">
        <v>3</v>
      </c>
      <c r="Q551" t="s">
        <v>46</v>
      </c>
      <c r="R551"/>
      <c r="S551" t="s">
        <v>43</v>
      </c>
      <c r="T551"/>
      <c r="U551" t="s">
        <v>58</v>
      </c>
      <c r="V551" t="s">
        <v>3815</v>
      </c>
      <c r="W551" s="88" t="s">
        <v>4034</v>
      </c>
    </row>
    <row r="552" spans="1:23" ht="14.4">
      <c r="A552" s="7" t="s">
        <v>1520</v>
      </c>
      <c r="B552" t="s">
        <v>1521</v>
      </c>
      <c r="C552" t="s">
        <v>2545</v>
      </c>
      <c r="D552" s="7" t="s">
        <v>2303</v>
      </c>
      <c r="E552" s="7" t="s">
        <v>2304</v>
      </c>
      <c r="F552" s="18" t="s">
        <v>2302</v>
      </c>
      <c r="G552" s="7" t="s">
        <v>2584</v>
      </c>
      <c r="H552" s="85" t="s">
        <v>3573</v>
      </c>
      <c r="I552" s="85" t="s">
        <v>2795</v>
      </c>
      <c r="J552" s="85" t="s">
        <v>3574</v>
      </c>
      <c r="K552" s="85" t="s">
        <v>16</v>
      </c>
      <c r="L552" s="85">
        <v>2</v>
      </c>
      <c r="M552" s="20">
        <f>Table9[[#This Row],[Rate
(Please Select from the list)]]/5</f>
        <v>0.4</v>
      </c>
      <c r="N552" s="77">
        <v>2.86</v>
      </c>
      <c r="O552" s="74">
        <f>Table9[[#This Row],[Score %]]*Table9[[#This Row],[Item Weight
(Please Select from the list)]]</f>
        <v>1.1439999999999999</v>
      </c>
      <c r="P552" s="80">
        <v>3</v>
      </c>
      <c r="Q552" t="s">
        <v>15</v>
      </c>
      <c r="R552" t="s">
        <v>3990</v>
      </c>
      <c r="S552" t="s">
        <v>29</v>
      </c>
      <c r="T552" s="86">
        <v>45421</v>
      </c>
      <c r="U552" t="s">
        <v>14</v>
      </c>
      <c r="V552" t="s">
        <v>3834</v>
      </c>
      <c r="W552" s="88" t="s">
        <v>4034</v>
      </c>
    </row>
    <row r="553" spans="1:23" ht="14.4">
      <c r="A553" s="7" t="s">
        <v>1520</v>
      </c>
      <c r="B553" t="s">
        <v>1521</v>
      </c>
      <c r="C553" t="s">
        <v>2545</v>
      </c>
      <c r="D553" s="7" t="s">
        <v>2306</v>
      </c>
      <c r="E553" s="7" t="s">
        <v>2307</v>
      </c>
      <c r="F553" s="18" t="s">
        <v>2305</v>
      </c>
      <c r="G553" s="7" t="s">
        <v>2584</v>
      </c>
      <c r="H553" s="85" t="s">
        <v>3575</v>
      </c>
      <c r="I553" s="85" t="s">
        <v>2731</v>
      </c>
      <c r="J553" s="85" t="s">
        <v>3576</v>
      </c>
      <c r="K553" s="85" t="s">
        <v>16</v>
      </c>
      <c r="L553" s="85">
        <v>3</v>
      </c>
      <c r="M553" s="20">
        <f>Table9[[#This Row],[Rate
(Please Select from the list)]]/5</f>
        <v>0.6</v>
      </c>
      <c r="N553" s="77">
        <v>2.86</v>
      </c>
      <c r="O553" s="74">
        <f>Table9[[#This Row],[Score %]]*Table9[[#This Row],[Item Weight
(Please Select from the list)]]</f>
        <v>1.716</v>
      </c>
      <c r="P553" s="80">
        <v>3</v>
      </c>
      <c r="Q553" t="s">
        <v>46</v>
      </c>
      <c r="R553"/>
      <c r="S553" t="s">
        <v>43</v>
      </c>
      <c r="T553"/>
      <c r="U553" t="s">
        <v>44</v>
      </c>
      <c r="V553" t="s">
        <v>3825</v>
      </c>
      <c r="W553" s="88" t="s">
        <v>4034</v>
      </c>
    </row>
    <row r="554" spans="1:23" ht="14.4">
      <c r="A554" s="7" t="s">
        <v>1520</v>
      </c>
      <c r="B554" t="s">
        <v>1521</v>
      </c>
      <c r="C554" t="s">
        <v>2545</v>
      </c>
      <c r="D554" s="7" t="s">
        <v>2309</v>
      </c>
      <c r="E554" s="7" t="s">
        <v>2310</v>
      </c>
      <c r="F554" s="18" t="s">
        <v>2308</v>
      </c>
      <c r="G554" s="7" t="s">
        <v>2584</v>
      </c>
      <c r="H554" s="85" t="s">
        <v>3577</v>
      </c>
      <c r="I554" s="85" t="s">
        <v>2736</v>
      </c>
      <c r="J554" s="85"/>
      <c r="K554" s="85" t="s">
        <v>855</v>
      </c>
      <c r="L554" s="85">
        <v>4</v>
      </c>
      <c r="M554" s="20">
        <f>Table9[[#This Row],[Rate
(Please Select from the list)]]/5</f>
        <v>0.8</v>
      </c>
      <c r="N554" s="77">
        <v>2.86</v>
      </c>
      <c r="O554" s="74">
        <f>Table9[[#This Row],[Score %]]*Table9[[#This Row],[Item Weight
(Please Select from the list)]]</f>
        <v>2.2879999999999998</v>
      </c>
      <c r="P554" s="80">
        <v>3</v>
      </c>
      <c r="Q554" t="s">
        <v>46</v>
      </c>
      <c r="R554"/>
      <c r="S554" t="s">
        <v>57</v>
      </c>
      <c r="T554"/>
      <c r="U554" t="s">
        <v>44</v>
      </c>
      <c r="V554" t="s">
        <v>3812</v>
      </c>
      <c r="W554" s="88" t="s">
        <v>4034</v>
      </c>
    </row>
    <row r="555" spans="1:23" ht="14.4">
      <c r="A555" s="7" t="s">
        <v>116</v>
      </c>
      <c r="B555" t="s">
        <v>2548</v>
      </c>
      <c r="C555" t="s">
        <v>2549</v>
      </c>
      <c r="D555" s="7" t="s">
        <v>1141</v>
      </c>
      <c r="E555" s="7" t="s">
        <v>1142</v>
      </c>
      <c r="F555" s="18" t="s">
        <v>2311</v>
      </c>
      <c r="G555" s="7" t="s">
        <v>2584</v>
      </c>
      <c r="H555" s="85" t="s">
        <v>3578</v>
      </c>
      <c r="I555" s="85" t="s">
        <v>2739</v>
      </c>
      <c r="J555" s="85" t="s">
        <v>3579</v>
      </c>
      <c r="K555" s="85" t="s">
        <v>16</v>
      </c>
      <c r="L555" s="85">
        <v>0</v>
      </c>
      <c r="M555" s="20">
        <f>Table9[[#This Row],[Rate
(Please Select from the list)]]/5</f>
        <v>0</v>
      </c>
      <c r="N555" s="77">
        <v>2.86</v>
      </c>
      <c r="O555" s="74">
        <f>Table9[[#This Row],[Score %]]*Table9[[#This Row],[Item Weight
(Please Select from the list)]]</f>
        <v>0</v>
      </c>
      <c r="P555" s="80">
        <v>3</v>
      </c>
      <c r="Q555" t="s">
        <v>59</v>
      </c>
      <c r="R555"/>
      <c r="S555" t="s">
        <v>3828</v>
      </c>
      <c r="T555"/>
      <c r="U555" t="s">
        <v>45</v>
      </c>
      <c r="V555" t="s">
        <v>3829</v>
      </c>
      <c r="W555" s="88" t="s">
        <v>4034</v>
      </c>
    </row>
    <row r="556" spans="1:23" ht="14.4">
      <c r="A556" s="7" t="s">
        <v>116</v>
      </c>
      <c r="B556" t="s">
        <v>2548</v>
      </c>
      <c r="C556" t="s">
        <v>2549</v>
      </c>
      <c r="D556" s="7" t="s">
        <v>1144</v>
      </c>
      <c r="E556" s="7" t="s">
        <v>1145</v>
      </c>
      <c r="F556" s="18" t="s">
        <v>1143</v>
      </c>
      <c r="G556" s="7" t="s">
        <v>2584</v>
      </c>
      <c r="H556" s="85" t="s">
        <v>3580</v>
      </c>
      <c r="I556" s="85" t="s">
        <v>2725</v>
      </c>
      <c r="J556" s="85" t="s">
        <v>3581</v>
      </c>
      <c r="K556" s="85" t="s">
        <v>16</v>
      </c>
      <c r="L556" s="85">
        <v>2</v>
      </c>
      <c r="M556" s="20">
        <f>Table9[[#This Row],[Rate
(Please Select from the list)]]/5</f>
        <v>0.4</v>
      </c>
      <c r="N556" s="77">
        <v>2.86</v>
      </c>
      <c r="O556" s="74">
        <f>Table9[[#This Row],[Score %]]*Table9[[#This Row],[Item Weight
(Please Select from the list)]]</f>
        <v>1.1439999999999999</v>
      </c>
      <c r="P556" s="80">
        <v>3</v>
      </c>
      <c r="Q556" t="s">
        <v>15</v>
      </c>
      <c r="R556" t="s">
        <v>3991</v>
      </c>
      <c r="S556" t="s">
        <v>13</v>
      </c>
      <c r="T556" t="s">
        <v>3820</v>
      </c>
      <c r="U556" t="s">
        <v>30</v>
      </c>
      <c r="V556" t="s">
        <v>3847</v>
      </c>
      <c r="W556" s="88" t="s">
        <v>4034</v>
      </c>
    </row>
    <row r="557" spans="1:23" ht="14.4">
      <c r="A557" s="7" t="s">
        <v>116</v>
      </c>
      <c r="B557" t="s">
        <v>2548</v>
      </c>
      <c r="C557" t="s">
        <v>2549</v>
      </c>
      <c r="D557" s="7" t="s">
        <v>1147</v>
      </c>
      <c r="E557" s="7" t="s">
        <v>1148</v>
      </c>
      <c r="F557" s="18" t="s">
        <v>1146</v>
      </c>
      <c r="G557" s="7" t="s">
        <v>2584</v>
      </c>
      <c r="H557" s="85" t="s">
        <v>3582</v>
      </c>
      <c r="I557" s="85" t="s">
        <v>2716</v>
      </c>
      <c r="J557" s="85" t="s">
        <v>3583</v>
      </c>
      <c r="K557" s="85" t="s">
        <v>16</v>
      </c>
      <c r="L557" s="85">
        <v>2</v>
      </c>
      <c r="M557" s="20">
        <f>Table9[[#This Row],[Rate
(Please Select from the list)]]/5</f>
        <v>0.4</v>
      </c>
      <c r="N557" s="77">
        <v>2.86</v>
      </c>
      <c r="O557" s="74">
        <f>Table9[[#This Row],[Score %]]*Table9[[#This Row],[Item Weight
(Please Select from the list)]]</f>
        <v>1.1439999999999999</v>
      </c>
      <c r="P557" s="80">
        <v>3</v>
      </c>
      <c r="Q557" t="s">
        <v>46</v>
      </c>
      <c r="R557" t="s">
        <v>3992</v>
      </c>
      <c r="S557" t="s">
        <v>29</v>
      </c>
      <c r="T557" s="86">
        <v>45421</v>
      </c>
      <c r="U557" t="s">
        <v>14</v>
      </c>
      <c r="V557" t="s">
        <v>3847</v>
      </c>
      <c r="W557" s="88" t="s">
        <v>4034</v>
      </c>
    </row>
    <row r="558" spans="1:23" ht="14.4">
      <c r="A558" s="7" t="s">
        <v>116</v>
      </c>
      <c r="B558" t="s">
        <v>2548</v>
      </c>
      <c r="C558" t="s">
        <v>2549</v>
      </c>
      <c r="D558" s="7" t="s">
        <v>1150</v>
      </c>
      <c r="E558" s="7" t="s">
        <v>1151</v>
      </c>
      <c r="F558" s="18" t="s">
        <v>1149</v>
      </c>
      <c r="G558" s="7" t="s">
        <v>2584</v>
      </c>
      <c r="H558" s="85" t="s">
        <v>3584</v>
      </c>
      <c r="I558" s="85" t="s">
        <v>2716</v>
      </c>
      <c r="J558" s="85"/>
      <c r="K558" s="85" t="s">
        <v>16</v>
      </c>
      <c r="L558" s="85">
        <v>4</v>
      </c>
      <c r="M558" s="20">
        <f>Table9[[#This Row],[Rate
(Please Select from the list)]]/5</f>
        <v>0.8</v>
      </c>
      <c r="N558" s="77">
        <v>2.86</v>
      </c>
      <c r="O558" s="74">
        <f>Table9[[#This Row],[Score %]]*Table9[[#This Row],[Item Weight
(Please Select from the list)]]</f>
        <v>2.2879999999999998</v>
      </c>
      <c r="P558" s="80">
        <v>3</v>
      </c>
      <c r="Q558" t="s">
        <v>46</v>
      </c>
      <c r="R558"/>
      <c r="S558" t="s">
        <v>57</v>
      </c>
      <c r="T558"/>
      <c r="U558" t="s">
        <v>44</v>
      </c>
      <c r="V558" t="s">
        <v>3812</v>
      </c>
      <c r="W558" s="88" t="s">
        <v>4034</v>
      </c>
    </row>
    <row r="559" spans="1:23" ht="14.4">
      <c r="A559" s="7" t="s">
        <v>116</v>
      </c>
      <c r="B559" t="s">
        <v>2548</v>
      </c>
      <c r="C559" t="s">
        <v>2549</v>
      </c>
      <c r="D559" s="7" t="s">
        <v>1153</v>
      </c>
      <c r="E559" s="7" t="s">
        <v>1154</v>
      </c>
      <c r="F559" s="18" t="s">
        <v>1152</v>
      </c>
      <c r="G559" s="7" t="s">
        <v>2584</v>
      </c>
      <c r="H559" s="85" t="s">
        <v>3585</v>
      </c>
      <c r="I559" s="85" t="s">
        <v>2731</v>
      </c>
      <c r="J559" s="85"/>
      <c r="K559" s="85" t="s">
        <v>47</v>
      </c>
      <c r="L559" s="85">
        <v>4</v>
      </c>
      <c r="M559" s="20">
        <f>Table9[[#This Row],[Rate
(Please Select from the list)]]/5</f>
        <v>0.8</v>
      </c>
      <c r="N559" s="77">
        <v>2.86</v>
      </c>
      <c r="O559" s="74">
        <f>Table9[[#This Row],[Score %]]*Table9[[#This Row],[Item Weight
(Please Select from the list)]]</f>
        <v>2.2879999999999998</v>
      </c>
      <c r="P559" s="80">
        <v>3</v>
      </c>
      <c r="Q559" t="s">
        <v>15</v>
      </c>
      <c r="R559"/>
      <c r="S559" t="s">
        <v>57</v>
      </c>
      <c r="T559"/>
      <c r="U559" t="s">
        <v>44</v>
      </c>
      <c r="V559" t="s">
        <v>3812</v>
      </c>
      <c r="W559" s="88" t="s">
        <v>4034</v>
      </c>
    </row>
    <row r="560" spans="1:23" ht="14.4">
      <c r="A560" s="7" t="s">
        <v>116</v>
      </c>
      <c r="B560" t="s">
        <v>2548</v>
      </c>
      <c r="C560" t="s">
        <v>2549</v>
      </c>
      <c r="D560" s="7" t="s">
        <v>1156</v>
      </c>
      <c r="E560" s="7" t="s">
        <v>1157</v>
      </c>
      <c r="F560" s="18" t="s">
        <v>1155</v>
      </c>
      <c r="G560" s="7" t="s">
        <v>2584</v>
      </c>
      <c r="H560" s="85" t="s">
        <v>3586</v>
      </c>
      <c r="I560" s="85" t="s">
        <v>2728</v>
      </c>
      <c r="J560" s="85" t="s">
        <v>3587</v>
      </c>
      <c r="K560" s="85" t="s">
        <v>16</v>
      </c>
      <c r="L560" s="85">
        <v>2</v>
      </c>
      <c r="M560" s="20">
        <f>Table9[[#This Row],[Rate
(Please Select from the list)]]/5</f>
        <v>0.4</v>
      </c>
      <c r="N560" s="77">
        <v>2.86</v>
      </c>
      <c r="O560" s="74">
        <f>Table9[[#This Row],[Score %]]*Table9[[#This Row],[Item Weight
(Please Select from the list)]]</f>
        <v>1.1439999999999999</v>
      </c>
      <c r="P560" s="80">
        <v>3</v>
      </c>
      <c r="Q560" t="s">
        <v>31</v>
      </c>
      <c r="R560" t="s">
        <v>3993</v>
      </c>
      <c r="S560" t="s">
        <v>29</v>
      </c>
      <c r="T560" s="86">
        <v>45421</v>
      </c>
      <c r="U560" t="s">
        <v>30</v>
      </c>
      <c r="V560" t="s">
        <v>3834</v>
      </c>
      <c r="W560" s="88" t="s">
        <v>4034</v>
      </c>
    </row>
    <row r="561" spans="1:23" ht="14.4">
      <c r="A561" s="7" t="s">
        <v>116</v>
      </c>
      <c r="B561" t="s">
        <v>2548</v>
      </c>
      <c r="C561" t="s">
        <v>2549</v>
      </c>
      <c r="D561" s="7" t="s">
        <v>1159</v>
      </c>
      <c r="E561" s="7" t="s">
        <v>1160</v>
      </c>
      <c r="F561" s="18" t="s">
        <v>1158</v>
      </c>
      <c r="G561" s="7" t="s">
        <v>2584</v>
      </c>
      <c r="H561" s="85" t="s">
        <v>3588</v>
      </c>
      <c r="I561" s="85" t="s">
        <v>2731</v>
      </c>
      <c r="J561" s="85"/>
      <c r="K561" s="85" t="s">
        <v>16</v>
      </c>
      <c r="L561" s="85">
        <v>4</v>
      </c>
      <c r="M561" s="20">
        <f>Table9[[#This Row],[Rate
(Please Select from the list)]]/5</f>
        <v>0.8</v>
      </c>
      <c r="N561" s="77">
        <v>2.86</v>
      </c>
      <c r="O561" s="74">
        <f>Table9[[#This Row],[Score %]]*Table9[[#This Row],[Item Weight
(Please Select from the list)]]</f>
        <v>2.2879999999999998</v>
      </c>
      <c r="P561" s="80">
        <v>3</v>
      </c>
      <c r="Q561" t="s">
        <v>59</v>
      </c>
      <c r="R561"/>
      <c r="S561" t="s">
        <v>57</v>
      </c>
      <c r="T561"/>
      <c r="U561" t="s">
        <v>58</v>
      </c>
      <c r="V561" t="s">
        <v>3812</v>
      </c>
      <c r="W561" s="88" t="s">
        <v>4034</v>
      </c>
    </row>
    <row r="562" spans="1:23" ht="14.4">
      <c r="A562" s="7" t="s">
        <v>116</v>
      </c>
      <c r="B562" t="s">
        <v>2548</v>
      </c>
      <c r="C562" t="s">
        <v>2549</v>
      </c>
      <c r="D562" s="7" t="s">
        <v>1162</v>
      </c>
      <c r="E562" s="7" t="s">
        <v>1163</v>
      </c>
      <c r="F562" s="18" t="s">
        <v>1161</v>
      </c>
      <c r="G562" s="7" t="s">
        <v>2584</v>
      </c>
      <c r="H562" s="85" t="s">
        <v>3589</v>
      </c>
      <c r="I562" s="85" t="s">
        <v>2716</v>
      </c>
      <c r="J562" s="85"/>
      <c r="K562" s="85" t="s">
        <v>47</v>
      </c>
      <c r="L562" s="85">
        <v>4</v>
      </c>
      <c r="M562" s="20">
        <f>Table9[[#This Row],[Rate
(Please Select from the list)]]/5</f>
        <v>0.8</v>
      </c>
      <c r="N562" s="77">
        <v>2.86</v>
      </c>
      <c r="O562" s="74">
        <f>Table9[[#This Row],[Score %]]*Table9[[#This Row],[Item Weight
(Please Select from the list)]]</f>
        <v>2.2879999999999998</v>
      </c>
      <c r="P562" s="80">
        <v>3</v>
      </c>
      <c r="Q562" t="s">
        <v>15</v>
      </c>
      <c r="R562"/>
      <c r="S562" t="s">
        <v>57</v>
      </c>
      <c r="T562"/>
      <c r="U562" t="s">
        <v>44</v>
      </c>
      <c r="V562" t="s">
        <v>3812</v>
      </c>
      <c r="W562" s="88" t="s">
        <v>4034</v>
      </c>
    </row>
    <row r="563" spans="1:23" ht="14.4">
      <c r="A563" s="7" t="s">
        <v>116</v>
      </c>
      <c r="B563" t="s">
        <v>2548</v>
      </c>
      <c r="C563" t="s">
        <v>2549</v>
      </c>
      <c r="D563" s="7" t="s">
        <v>1165</v>
      </c>
      <c r="E563" s="7" t="s">
        <v>1166</v>
      </c>
      <c r="F563" s="18" t="s">
        <v>1164</v>
      </c>
      <c r="G563" s="7" t="s">
        <v>2584</v>
      </c>
      <c r="H563" s="85" t="s">
        <v>3590</v>
      </c>
      <c r="I563" s="85" t="s">
        <v>2795</v>
      </c>
      <c r="J563" s="85" t="s">
        <v>3591</v>
      </c>
      <c r="K563" s="85" t="s">
        <v>16</v>
      </c>
      <c r="L563" s="85">
        <v>3</v>
      </c>
      <c r="M563" s="20">
        <f>Table9[[#This Row],[Rate
(Please Select from the list)]]/5</f>
        <v>0.6</v>
      </c>
      <c r="N563" s="77">
        <v>2.86</v>
      </c>
      <c r="O563" s="74">
        <f>Table9[[#This Row],[Score %]]*Table9[[#This Row],[Item Weight
(Please Select from the list)]]</f>
        <v>1.716</v>
      </c>
      <c r="P563" s="80">
        <v>3</v>
      </c>
      <c r="Q563" t="s">
        <v>46</v>
      </c>
      <c r="R563"/>
      <c r="S563" t="s">
        <v>43</v>
      </c>
      <c r="T563"/>
      <c r="U563" t="s">
        <v>58</v>
      </c>
      <c r="V563" t="s">
        <v>3839</v>
      </c>
      <c r="W563" s="88" t="s">
        <v>4034</v>
      </c>
    </row>
    <row r="564" spans="1:23" ht="14.4">
      <c r="A564" s="7" t="s">
        <v>116</v>
      </c>
      <c r="B564" t="s">
        <v>2548</v>
      </c>
      <c r="C564" t="s">
        <v>2549</v>
      </c>
      <c r="D564" s="7" t="s">
        <v>1167</v>
      </c>
      <c r="E564" s="7" t="s">
        <v>1168</v>
      </c>
      <c r="F564" s="18" t="s">
        <v>727</v>
      </c>
      <c r="G564" s="7" t="s">
        <v>2584</v>
      </c>
      <c r="H564" s="85" t="s">
        <v>3592</v>
      </c>
      <c r="I564" s="85" t="s">
        <v>2739</v>
      </c>
      <c r="J564" s="85" t="s">
        <v>3593</v>
      </c>
      <c r="K564" s="85" t="s">
        <v>16</v>
      </c>
      <c r="L564" s="85">
        <v>3</v>
      </c>
      <c r="M564" s="20">
        <f>Table9[[#This Row],[Rate
(Please Select from the list)]]/5</f>
        <v>0.6</v>
      </c>
      <c r="N564" s="77">
        <v>2.86</v>
      </c>
      <c r="O564" s="74">
        <f>Table9[[#This Row],[Score %]]*Table9[[#This Row],[Item Weight
(Please Select from the list)]]</f>
        <v>1.716</v>
      </c>
      <c r="P564" s="80">
        <v>3</v>
      </c>
      <c r="Q564" t="s">
        <v>46</v>
      </c>
      <c r="R564"/>
      <c r="S564" t="s">
        <v>43</v>
      </c>
      <c r="T564"/>
      <c r="U564" t="s">
        <v>58</v>
      </c>
      <c r="V564" t="s">
        <v>3839</v>
      </c>
      <c r="W564" s="88" t="s">
        <v>4034</v>
      </c>
    </row>
    <row r="565" spans="1:23" ht="14.4">
      <c r="A565" s="7" t="s">
        <v>116</v>
      </c>
      <c r="B565" t="s">
        <v>2548</v>
      </c>
      <c r="C565" t="s">
        <v>2549</v>
      </c>
      <c r="D565" s="7" t="s">
        <v>1170</v>
      </c>
      <c r="E565" s="7" t="s">
        <v>1171</v>
      </c>
      <c r="F565" s="18" t="s">
        <v>1169</v>
      </c>
      <c r="G565" s="7" t="s">
        <v>2584</v>
      </c>
      <c r="H565" s="85" t="s">
        <v>3594</v>
      </c>
      <c r="I565" s="85" t="s">
        <v>2731</v>
      </c>
      <c r="J565" s="85" t="s">
        <v>3595</v>
      </c>
      <c r="K565" s="85" t="s">
        <v>16</v>
      </c>
      <c r="L565" s="85">
        <v>3</v>
      </c>
      <c r="M565" s="20">
        <f>Table9[[#This Row],[Rate
(Please Select from the list)]]/5</f>
        <v>0.6</v>
      </c>
      <c r="N565" s="77">
        <v>2.86</v>
      </c>
      <c r="O565" s="74">
        <f>Table9[[#This Row],[Score %]]*Table9[[#This Row],[Item Weight
(Please Select from the list)]]</f>
        <v>1.716</v>
      </c>
      <c r="P565" s="80">
        <v>3</v>
      </c>
      <c r="Q565" t="s">
        <v>46</v>
      </c>
      <c r="R565"/>
      <c r="S565" t="s">
        <v>43</v>
      </c>
      <c r="T565"/>
      <c r="U565" t="s">
        <v>58</v>
      </c>
      <c r="V565" t="s">
        <v>3815</v>
      </c>
      <c r="W565" s="88" t="s">
        <v>4034</v>
      </c>
    </row>
    <row r="566" spans="1:23" ht="14.4">
      <c r="A566" s="7" t="s">
        <v>116</v>
      </c>
      <c r="B566" t="s">
        <v>2548</v>
      </c>
      <c r="C566" t="s">
        <v>2549</v>
      </c>
      <c r="D566" s="7" t="s">
        <v>1173</v>
      </c>
      <c r="E566" s="7" t="s">
        <v>1174</v>
      </c>
      <c r="F566" s="18" t="s">
        <v>1172</v>
      </c>
      <c r="G566" s="7" t="s">
        <v>2584</v>
      </c>
      <c r="H566" s="85" t="s">
        <v>3596</v>
      </c>
      <c r="I566" s="85" t="s">
        <v>2795</v>
      </c>
      <c r="J566" s="85" t="s">
        <v>3597</v>
      </c>
      <c r="K566" s="85" t="s">
        <v>16</v>
      </c>
      <c r="L566" s="85">
        <v>3</v>
      </c>
      <c r="M566" s="20">
        <f>Table9[[#This Row],[Rate
(Please Select from the list)]]/5</f>
        <v>0.6</v>
      </c>
      <c r="N566" s="77">
        <v>2.86</v>
      </c>
      <c r="O566" s="74">
        <f>Table9[[#This Row],[Score %]]*Table9[[#This Row],[Item Weight
(Please Select from the list)]]</f>
        <v>1.716</v>
      </c>
      <c r="P566" s="80">
        <v>3</v>
      </c>
      <c r="Q566" t="s">
        <v>46</v>
      </c>
      <c r="R566"/>
      <c r="S566" t="s">
        <v>43</v>
      </c>
      <c r="T566"/>
      <c r="U566" t="s">
        <v>58</v>
      </c>
      <c r="V566" t="s">
        <v>3815</v>
      </c>
      <c r="W566" s="88" t="s">
        <v>4034</v>
      </c>
    </row>
    <row r="567" spans="1:23" ht="14.4">
      <c r="A567" s="7" t="s">
        <v>116</v>
      </c>
      <c r="B567" t="s">
        <v>2548</v>
      </c>
      <c r="C567" t="s">
        <v>2549</v>
      </c>
      <c r="D567" s="7" t="s">
        <v>1175</v>
      </c>
      <c r="E567" s="7" t="s">
        <v>1176</v>
      </c>
      <c r="F567" s="18" t="s">
        <v>486</v>
      </c>
      <c r="G567" s="7" t="s">
        <v>2584</v>
      </c>
      <c r="H567" s="85" t="s">
        <v>3598</v>
      </c>
      <c r="I567" s="85" t="s">
        <v>2736</v>
      </c>
      <c r="J567" s="85" t="s">
        <v>3599</v>
      </c>
      <c r="K567" s="85" t="s">
        <v>16</v>
      </c>
      <c r="L567" s="85">
        <v>3</v>
      </c>
      <c r="M567" s="20">
        <f>Table9[[#This Row],[Rate
(Please Select from the list)]]/5</f>
        <v>0.6</v>
      </c>
      <c r="N567" s="77">
        <v>2.86</v>
      </c>
      <c r="O567" s="74">
        <f>Table9[[#This Row],[Score %]]*Table9[[#This Row],[Item Weight
(Please Select from the list)]]</f>
        <v>1.716</v>
      </c>
      <c r="P567" s="80">
        <v>3</v>
      </c>
      <c r="Q567" t="s">
        <v>59</v>
      </c>
      <c r="R567" t="s">
        <v>3994</v>
      </c>
      <c r="S567" t="s">
        <v>29</v>
      </c>
      <c r="T567" s="86">
        <v>45421</v>
      </c>
      <c r="U567" t="s">
        <v>14</v>
      </c>
      <c r="V567" t="s">
        <v>3839</v>
      </c>
      <c r="W567" s="88" t="s">
        <v>4034</v>
      </c>
    </row>
    <row r="568" spans="1:23" ht="14.4">
      <c r="A568" s="7" t="s">
        <v>116</v>
      </c>
      <c r="B568" t="s">
        <v>2548</v>
      </c>
      <c r="C568" t="s">
        <v>2549</v>
      </c>
      <c r="D568" s="7" t="s">
        <v>1178</v>
      </c>
      <c r="E568" s="7" t="s">
        <v>1179</v>
      </c>
      <c r="F568" s="18" t="s">
        <v>1177</v>
      </c>
      <c r="G568" s="7" t="s">
        <v>2584</v>
      </c>
      <c r="H568" s="85" t="s">
        <v>3600</v>
      </c>
      <c r="I568" s="85" t="s">
        <v>2754</v>
      </c>
      <c r="J568" s="85" t="s">
        <v>3601</v>
      </c>
      <c r="K568" s="85" t="s">
        <v>16</v>
      </c>
      <c r="L568" s="85">
        <v>3</v>
      </c>
      <c r="M568" s="20">
        <f>Table9[[#This Row],[Rate
(Please Select from the list)]]/5</f>
        <v>0.6</v>
      </c>
      <c r="N568" s="77">
        <v>2.86</v>
      </c>
      <c r="O568" s="74">
        <f>Table9[[#This Row],[Score %]]*Table9[[#This Row],[Item Weight
(Please Select from the list)]]</f>
        <v>1.716</v>
      </c>
      <c r="P568" s="80">
        <v>3</v>
      </c>
      <c r="Q568" t="s">
        <v>46</v>
      </c>
      <c r="R568"/>
      <c r="S568" t="s">
        <v>29</v>
      </c>
      <c r="T568"/>
      <c r="U568" t="s">
        <v>44</v>
      </c>
      <c r="V568" t="s">
        <v>3815</v>
      </c>
      <c r="W568" s="88" t="s">
        <v>4034</v>
      </c>
    </row>
    <row r="569" spans="1:23" ht="14.4">
      <c r="A569" s="7" t="s">
        <v>116</v>
      </c>
      <c r="B569" t="s">
        <v>2548</v>
      </c>
      <c r="C569" t="s">
        <v>2549</v>
      </c>
      <c r="D569" s="7" t="s">
        <v>1181</v>
      </c>
      <c r="E569" s="7" t="s">
        <v>1182</v>
      </c>
      <c r="F569" s="18" t="s">
        <v>1180</v>
      </c>
      <c r="G569" s="7" t="s">
        <v>2584</v>
      </c>
      <c r="H569" s="85" t="s">
        <v>3602</v>
      </c>
      <c r="I569" s="85" t="s">
        <v>2748</v>
      </c>
      <c r="J569" s="85"/>
      <c r="K569" s="85" t="s">
        <v>16</v>
      </c>
      <c r="L569" s="85">
        <v>4</v>
      </c>
      <c r="M569" s="20">
        <f>Table9[[#This Row],[Rate
(Please Select from the list)]]/5</f>
        <v>0.8</v>
      </c>
      <c r="N569" s="77">
        <v>2.86</v>
      </c>
      <c r="O569" s="74">
        <f>Table9[[#This Row],[Score %]]*Table9[[#This Row],[Item Weight
(Please Select from the list)]]</f>
        <v>2.2879999999999998</v>
      </c>
      <c r="P569" s="80">
        <v>3</v>
      </c>
      <c r="Q569" t="s">
        <v>15</v>
      </c>
      <c r="R569"/>
      <c r="S569" t="s">
        <v>57</v>
      </c>
      <c r="T569"/>
      <c r="U569" t="s">
        <v>44</v>
      </c>
      <c r="V569" t="s">
        <v>3812</v>
      </c>
      <c r="W569" s="88" t="s">
        <v>4034</v>
      </c>
    </row>
    <row r="570" spans="1:23" ht="14.4">
      <c r="A570" s="7" t="s">
        <v>116</v>
      </c>
      <c r="B570" t="s">
        <v>2548</v>
      </c>
      <c r="C570" t="s">
        <v>2549</v>
      </c>
      <c r="D570" s="7" t="s">
        <v>1184</v>
      </c>
      <c r="E570" s="7" t="s">
        <v>1185</v>
      </c>
      <c r="F570" s="18" t="s">
        <v>1183</v>
      </c>
      <c r="G570" s="7" t="s">
        <v>2584</v>
      </c>
      <c r="H570" s="85" t="s">
        <v>3603</v>
      </c>
      <c r="I570" s="85" t="s">
        <v>2739</v>
      </c>
      <c r="J570" s="85" t="s">
        <v>3604</v>
      </c>
      <c r="K570" s="85" t="s">
        <v>16</v>
      </c>
      <c r="L570" s="85">
        <v>2</v>
      </c>
      <c r="M570" s="20">
        <f>Table9[[#This Row],[Rate
(Please Select from the list)]]/5</f>
        <v>0.4</v>
      </c>
      <c r="N570" s="77">
        <v>2.86</v>
      </c>
      <c r="O570" s="74">
        <f>Table9[[#This Row],[Score %]]*Table9[[#This Row],[Item Weight
(Please Select from the list)]]</f>
        <v>1.1439999999999999</v>
      </c>
      <c r="P570" s="80">
        <v>3</v>
      </c>
      <c r="Q570" t="s">
        <v>31</v>
      </c>
      <c r="R570" t="s">
        <v>3995</v>
      </c>
      <c r="S570" t="s">
        <v>13</v>
      </c>
      <c r="T570" t="s">
        <v>3820</v>
      </c>
      <c r="U570" t="s">
        <v>14</v>
      </c>
      <c r="V570" t="s">
        <v>3859</v>
      </c>
      <c r="W570" s="88" t="s">
        <v>4034</v>
      </c>
    </row>
    <row r="571" spans="1:23" ht="14.4">
      <c r="A571" s="7" t="s">
        <v>116</v>
      </c>
      <c r="B571" t="s">
        <v>2548</v>
      </c>
      <c r="C571" t="s">
        <v>2549</v>
      </c>
      <c r="D571" s="7" t="s">
        <v>1187</v>
      </c>
      <c r="E571" s="7" t="s">
        <v>1188</v>
      </c>
      <c r="F571" s="18" t="s">
        <v>1186</v>
      </c>
      <c r="G571" s="7" t="s">
        <v>2584</v>
      </c>
      <c r="H571" s="85" t="s">
        <v>3605</v>
      </c>
      <c r="I571" s="85" t="s">
        <v>2748</v>
      </c>
      <c r="J571" s="85"/>
      <c r="K571" s="85" t="s">
        <v>855</v>
      </c>
      <c r="L571" s="85">
        <v>4</v>
      </c>
      <c r="M571" s="20">
        <f>Table9[[#This Row],[Rate
(Please Select from the list)]]/5</f>
        <v>0.8</v>
      </c>
      <c r="N571" s="77">
        <v>2.86</v>
      </c>
      <c r="O571" s="74">
        <f>Table9[[#This Row],[Score %]]*Table9[[#This Row],[Item Weight
(Please Select from the list)]]</f>
        <v>2.2879999999999998</v>
      </c>
      <c r="P571" s="80">
        <v>3</v>
      </c>
      <c r="Q571" t="s">
        <v>46</v>
      </c>
      <c r="R571"/>
      <c r="S571" t="s">
        <v>57</v>
      </c>
      <c r="T571"/>
      <c r="U571" t="s">
        <v>58</v>
      </c>
      <c r="V571" t="s">
        <v>3812</v>
      </c>
      <c r="W571" s="88" t="s">
        <v>4034</v>
      </c>
    </row>
    <row r="572" spans="1:23" ht="14.4">
      <c r="A572" s="7" t="s">
        <v>116</v>
      </c>
      <c r="B572" t="s">
        <v>2548</v>
      </c>
      <c r="C572" t="s">
        <v>2549</v>
      </c>
      <c r="D572" s="7" t="s">
        <v>1190</v>
      </c>
      <c r="E572" s="7" t="s">
        <v>1191</v>
      </c>
      <c r="F572" s="18" t="s">
        <v>1189</v>
      </c>
      <c r="G572" s="7" t="s">
        <v>2584</v>
      </c>
      <c r="H572" s="85" t="s">
        <v>3606</v>
      </c>
      <c r="I572" s="85" t="s">
        <v>2716</v>
      </c>
      <c r="J572" s="85" t="s">
        <v>3607</v>
      </c>
      <c r="K572" s="85" t="s">
        <v>16</v>
      </c>
      <c r="L572" s="85">
        <v>3</v>
      </c>
      <c r="M572" s="20">
        <f>Table9[[#This Row],[Rate
(Please Select from the list)]]/5</f>
        <v>0.6</v>
      </c>
      <c r="N572" s="77">
        <v>2.86</v>
      </c>
      <c r="O572" s="74">
        <f>Table9[[#This Row],[Score %]]*Table9[[#This Row],[Item Weight
(Please Select from the list)]]</f>
        <v>1.716</v>
      </c>
      <c r="P572" s="80">
        <v>3</v>
      </c>
      <c r="Q572" t="s">
        <v>15</v>
      </c>
      <c r="R572"/>
      <c r="S572" t="s">
        <v>43</v>
      </c>
      <c r="T572"/>
      <c r="U572" t="s">
        <v>58</v>
      </c>
      <c r="V572" t="s">
        <v>3839</v>
      </c>
      <c r="W572" s="88" t="s">
        <v>4034</v>
      </c>
    </row>
    <row r="573" spans="1:23" ht="14.4">
      <c r="A573" s="7" t="s">
        <v>116</v>
      </c>
      <c r="B573" t="s">
        <v>2548</v>
      </c>
      <c r="C573" t="s">
        <v>2549</v>
      </c>
      <c r="D573" s="7" t="s">
        <v>1193</v>
      </c>
      <c r="E573" s="7" t="s">
        <v>897</v>
      </c>
      <c r="F573" s="18" t="s">
        <v>1192</v>
      </c>
      <c r="G573" s="7" t="s">
        <v>2584</v>
      </c>
      <c r="H573" s="85" t="s">
        <v>3608</v>
      </c>
      <c r="I573" s="85" t="s">
        <v>2748</v>
      </c>
      <c r="J573" s="85"/>
      <c r="K573" s="85" t="s">
        <v>16</v>
      </c>
      <c r="L573" s="85">
        <v>4</v>
      </c>
      <c r="M573" s="20">
        <f>Table9[[#This Row],[Rate
(Please Select from the list)]]/5</f>
        <v>0.8</v>
      </c>
      <c r="N573" s="77">
        <v>2.86</v>
      </c>
      <c r="O573" s="74">
        <f>Table9[[#This Row],[Score %]]*Table9[[#This Row],[Item Weight
(Please Select from the list)]]</f>
        <v>2.2879999999999998</v>
      </c>
      <c r="P573" s="80">
        <v>3</v>
      </c>
      <c r="Q573" t="s">
        <v>46</v>
      </c>
      <c r="R573"/>
      <c r="S573" t="s">
        <v>57</v>
      </c>
      <c r="T573"/>
      <c r="U573" t="s">
        <v>58</v>
      </c>
      <c r="V573" t="s">
        <v>3812</v>
      </c>
      <c r="W573" s="88" t="s">
        <v>4034</v>
      </c>
    </row>
    <row r="574" spans="1:23" ht="14.4">
      <c r="A574" s="7" t="s">
        <v>116</v>
      </c>
      <c r="B574" t="s">
        <v>2548</v>
      </c>
      <c r="C574" t="s">
        <v>2549</v>
      </c>
      <c r="D574" s="7" t="s">
        <v>1194</v>
      </c>
      <c r="E574" s="7" t="s">
        <v>732</v>
      </c>
      <c r="F574" s="18" t="s">
        <v>655</v>
      </c>
      <c r="G574" s="7" t="s">
        <v>2584</v>
      </c>
      <c r="H574" s="85" t="s">
        <v>3609</v>
      </c>
      <c r="I574" s="85" t="s">
        <v>2728</v>
      </c>
      <c r="J574" s="85" t="s">
        <v>3610</v>
      </c>
      <c r="K574" s="85" t="s">
        <v>16</v>
      </c>
      <c r="L574" s="85">
        <v>3</v>
      </c>
      <c r="M574" s="20">
        <f>Table9[[#This Row],[Rate
(Please Select from the list)]]/5</f>
        <v>0.6</v>
      </c>
      <c r="N574" s="77">
        <v>2.86</v>
      </c>
      <c r="O574" s="74">
        <f>Table9[[#This Row],[Score %]]*Table9[[#This Row],[Item Weight
(Please Select from the list)]]</f>
        <v>1.716</v>
      </c>
      <c r="P574" s="80">
        <v>3</v>
      </c>
      <c r="Q574" t="s">
        <v>46</v>
      </c>
      <c r="R574" t="s">
        <v>3996</v>
      </c>
      <c r="S574" t="s">
        <v>43</v>
      </c>
      <c r="T574" t="s">
        <v>3844</v>
      </c>
      <c r="U574" t="s">
        <v>30</v>
      </c>
      <c r="V574" t="s">
        <v>3825</v>
      </c>
      <c r="W574" s="88" t="s">
        <v>4034</v>
      </c>
    </row>
    <row r="575" spans="1:23" ht="14.4">
      <c r="A575" s="7" t="s">
        <v>116</v>
      </c>
      <c r="B575" t="s">
        <v>2548</v>
      </c>
      <c r="C575" t="s">
        <v>2549</v>
      </c>
      <c r="D575" s="7" t="s">
        <v>1195</v>
      </c>
      <c r="E575" s="7" t="s">
        <v>1196</v>
      </c>
      <c r="F575" s="18" t="s">
        <v>733</v>
      </c>
      <c r="G575" s="7" t="s">
        <v>2584</v>
      </c>
      <c r="H575" s="85" t="s">
        <v>3611</v>
      </c>
      <c r="I575" s="85" t="s">
        <v>2748</v>
      </c>
      <c r="J575" s="85" t="s">
        <v>3612</v>
      </c>
      <c r="K575" s="85" t="s">
        <v>16</v>
      </c>
      <c r="L575" s="85">
        <v>3</v>
      </c>
      <c r="M575" s="20">
        <f>Table9[[#This Row],[Rate
(Please Select from the list)]]/5</f>
        <v>0.6</v>
      </c>
      <c r="N575" s="77">
        <v>2.86</v>
      </c>
      <c r="O575" s="74">
        <f>Table9[[#This Row],[Score %]]*Table9[[#This Row],[Item Weight
(Please Select from the list)]]</f>
        <v>1.716</v>
      </c>
      <c r="P575" s="80">
        <v>3</v>
      </c>
      <c r="Q575" t="s">
        <v>15</v>
      </c>
      <c r="R575"/>
      <c r="S575" t="s">
        <v>43</v>
      </c>
      <c r="T575"/>
      <c r="U575" t="s">
        <v>58</v>
      </c>
      <c r="V575" t="s">
        <v>3813</v>
      </c>
      <c r="W575" s="88" t="s">
        <v>4034</v>
      </c>
    </row>
    <row r="576" spans="1:23" ht="14.4">
      <c r="A576" s="7" t="s">
        <v>116</v>
      </c>
      <c r="B576" t="s">
        <v>2548</v>
      </c>
      <c r="C576" t="s">
        <v>2549</v>
      </c>
      <c r="D576" s="7" t="s">
        <v>1197</v>
      </c>
      <c r="E576" s="7" t="s">
        <v>1198</v>
      </c>
      <c r="F576" s="18" t="s">
        <v>653</v>
      </c>
      <c r="G576" s="7" t="s">
        <v>2584</v>
      </c>
      <c r="H576" s="85" t="s">
        <v>3613</v>
      </c>
      <c r="I576" s="85" t="s">
        <v>2718</v>
      </c>
      <c r="J576" s="85"/>
      <c r="K576" s="85" t="s">
        <v>16</v>
      </c>
      <c r="L576" s="85">
        <v>4</v>
      </c>
      <c r="M576" s="20">
        <f>Table9[[#This Row],[Rate
(Please Select from the list)]]/5</f>
        <v>0.8</v>
      </c>
      <c r="N576" s="77">
        <v>2.86</v>
      </c>
      <c r="O576" s="74">
        <f>Table9[[#This Row],[Score %]]*Table9[[#This Row],[Item Weight
(Please Select from the list)]]</f>
        <v>2.2879999999999998</v>
      </c>
      <c r="P576" s="80">
        <v>3</v>
      </c>
      <c r="Q576" t="s">
        <v>46</v>
      </c>
      <c r="R576"/>
      <c r="S576" t="s">
        <v>57</v>
      </c>
      <c r="T576"/>
      <c r="U576" t="s">
        <v>58</v>
      </c>
      <c r="V576" t="s">
        <v>3812</v>
      </c>
      <c r="W576" s="88" t="s">
        <v>4034</v>
      </c>
    </row>
    <row r="577" spans="1:23" ht="14.4">
      <c r="A577" s="7" t="s">
        <v>116</v>
      </c>
      <c r="B577" t="s">
        <v>2548</v>
      </c>
      <c r="C577" t="s">
        <v>2549</v>
      </c>
      <c r="D577" s="7" t="s">
        <v>1200</v>
      </c>
      <c r="E577" s="7" t="s">
        <v>1201</v>
      </c>
      <c r="F577" s="18" t="s">
        <v>1199</v>
      </c>
      <c r="G577" s="7" t="s">
        <v>2584</v>
      </c>
      <c r="H577" s="85" t="s">
        <v>3614</v>
      </c>
      <c r="I577" s="85" t="s">
        <v>2795</v>
      </c>
      <c r="J577" s="85" t="s">
        <v>3615</v>
      </c>
      <c r="K577" s="85" t="s">
        <v>16</v>
      </c>
      <c r="L577" s="85">
        <v>2</v>
      </c>
      <c r="M577" s="20">
        <f>Table9[[#This Row],[Rate
(Please Select from the list)]]/5</f>
        <v>0.4</v>
      </c>
      <c r="N577" s="77">
        <v>2.86</v>
      </c>
      <c r="O577" s="74">
        <f>Table9[[#This Row],[Score %]]*Table9[[#This Row],[Item Weight
(Please Select from the list)]]</f>
        <v>1.1439999999999999</v>
      </c>
      <c r="P577" s="80">
        <v>3</v>
      </c>
      <c r="Q577" t="s">
        <v>46</v>
      </c>
      <c r="R577" t="s">
        <v>3997</v>
      </c>
      <c r="S577" t="s">
        <v>29</v>
      </c>
      <c r="T577" s="86">
        <v>45421</v>
      </c>
      <c r="U577" t="s">
        <v>14</v>
      </c>
      <c r="V577" t="s">
        <v>3834</v>
      </c>
      <c r="W577" s="88" t="s">
        <v>4034</v>
      </c>
    </row>
    <row r="578" spans="1:23" ht="14.4">
      <c r="A578" s="7" t="s">
        <v>116</v>
      </c>
      <c r="B578" t="s">
        <v>2548</v>
      </c>
      <c r="C578" t="s">
        <v>2549</v>
      </c>
      <c r="D578" s="7" t="s">
        <v>1203</v>
      </c>
      <c r="E578" s="7" t="s">
        <v>1204</v>
      </c>
      <c r="F578" s="18" t="s">
        <v>1202</v>
      </c>
      <c r="G578" s="7" t="s">
        <v>2584</v>
      </c>
      <c r="H578" s="85" t="s">
        <v>3616</v>
      </c>
      <c r="I578" s="85" t="s">
        <v>2754</v>
      </c>
      <c r="J578" s="85"/>
      <c r="K578" s="85" t="s">
        <v>47</v>
      </c>
      <c r="L578" s="85">
        <v>4</v>
      </c>
      <c r="M578" s="20">
        <f>Table9[[#This Row],[Rate
(Please Select from the list)]]/5</f>
        <v>0.8</v>
      </c>
      <c r="N578" s="77">
        <v>2.86</v>
      </c>
      <c r="O578" s="74">
        <f>Table9[[#This Row],[Score %]]*Table9[[#This Row],[Item Weight
(Please Select from the list)]]</f>
        <v>2.2879999999999998</v>
      </c>
      <c r="P578" s="80">
        <v>3</v>
      </c>
      <c r="Q578" t="s">
        <v>15</v>
      </c>
      <c r="R578"/>
      <c r="S578" t="s">
        <v>57</v>
      </c>
      <c r="T578"/>
      <c r="U578" t="s">
        <v>58</v>
      </c>
      <c r="V578" t="s">
        <v>3812</v>
      </c>
      <c r="W578" s="88" t="s">
        <v>4034</v>
      </c>
    </row>
    <row r="579" spans="1:23" ht="14.4">
      <c r="A579" s="7" t="s">
        <v>116</v>
      </c>
      <c r="B579" t="s">
        <v>2548</v>
      </c>
      <c r="C579" t="s">
        <v>2549</v>
      </c>
      <c r="D579" s="7" t="s">
        <v>1206</v>
      </c>
      <c r="E579" s="7" t="s">
        <v>1207</v>
      </c>
      <c r="F579" s="18" t="s">
        <v>1205</v>
      </c>
      <c r="G579" s="7" t="s">
        <v>2584</v>
      </c>
      <c r="H579" s="85" t="s">
        <v>3617</v>
      </c>
      <c r="I579" s="85" t="s">
        <v>2748</v>
      </c>
      <c r="J579" s="85"/>
      <c r="K579" s="85" t="s">
        <v>16</v>
      </c>
      <c r="L579" s="85">
        <v>4</v>
      </c>
      <c r="M579" s="20">
        <f>Table9[[#This Row],[Rate
(Please Select from the list)]]/5</f>
        <v>0.8</v>
      </c>
      <c r="N579" s="77">
        <v>2.86</v>
      </c>
      <c r="O579" s="74">
        <f>Table9[[#This Row],[Score %]]*Table9[[#This Row],[Item Weight
(Please Select from the list)]]</f>
        <v>2.2879999999999998</v>
      </c>
      <c r="P579" s="80">
        <v>3</v>
      </c>
      <c r="Q579" t="s">
        <v>15</v>
      </c>
      <c r="R579"/>
      <c r="S579" t="s">
        <v>57</v>
      </c>
      <c r="T579"/>
      <c r="U579" t="s">
        <v>58</v>
      </c>
      <c r="V579" t="s">
        <v>3812</v>
      </c>
      <c r="W579" s="88" t="s">
        <v>4034</v>
      </c>
    </row>
    <row r="580" spans="1:23" ht="14.4">
      <c r="A580" s="7" t="s">
        <v>116</v>
      </c>
      <c r="B580" t="s">
        <v>2548</v>
      </c>
      <c r="C580" t="s">
        <v>2549</v>
      </c>
      <c r="D580" s="7" t="s">
        <v>1209</v>
      </c>
      <c r="E580" s="7" t="s">
        <v>1210</v>
      </c>
      <c r="F580" s="18" t="s">
        <v>1208</v>
      </c>
      <c r="G580" s="7" t="s">
        <v>2584</v>
      </c>
      <c r="H580" s="85" t="s">
        <v>3618</v>
      </c>
      <c r="I580" s="85" t="s">
        <v>2795</v>
      </c>
      <c r="J580" s="85"/>
      <c r="K580" s="85" t="s">
        <v>47</v>
      </c>
      <c r="L580" s="85">
        <v>4</v>
      </c>
      <c r="M580" s="20">
        <f>Table9[[#This Row],[Rate
(Please Select from the list)]]/5</f>
        <v>0.8</v>
      </c>
      <c r="N580" s="77">
        <v>2.86</v>
      </c>
      <c r="O580" s="74">
        <f>Table9[[#This Row],[Score %]]*Table9[[#This Row],[Item Weight
(Please Select from the list)]]</f>
        <v>2.2879999999999998</v>
      </c>
      <c r="P580" s="80">
        <v>3</v>
      </c>
      <c r="Q580" t="s">
        <v>31</v>
      </c>
      <c r="R580"/>
      <c r="S580" t="s">
        <v>57</v>
      </c>
      <c r="T580"/>
      <c r="U580" t="s">
        <v>44</v>
      </c>
      <c r="V580" t="s">
        <v>3812</v>
      </c>
      <c r="W580" s="88" t="s">
        <v>4034</v>
      </c>
    </row>
    <row r="581" spans="1:23" ht="14.4">
      <c r="A581" s="7" t="s">
        <v>116</v>
      </c>
      <c r="B581" t="s">
        <v>2548</v>
      </c>
      <c r="C581" t="s">
        <v>2549</v>
      </c>
      <c r="D581" s="7" t="s">
        <v>1212</v>
      </c>
      <c r="E581" s="7" t="s">
        <v>1213</v>
      </c>
      <c r="F581" s="18" t="s">
        <v>1211</v>
      </c>
      <c r="G581" s="7" t="s">
        <v>2584</v>
      </c>
      <c r="H581" s="85" t="s">
        <v>3619</v>
      </c>
      <c r="I581" s="85" t="s">
        <v>2718</v>
      </c>
      <c r="J581" s="85" t="s">
        <v>3620</v>
      </c>
      <c r="K581" s="85" t="s">
        <v>16</v>
      </c>
      <c r="L581" s="85">
        <v>3</v>
      </c>
      <c r="M581" s="20">
        <f>Table9[[#This Row],[Rate
(Please Select from the list)]]/5</f>
        <v>0.6</v>
      </c>
      <c r="N581" s="77">
        <v>2.86</v>
      </c>
      <c r="O581" s="74">
        <f>Table9[[#This Row],[Score %]]*Table9[[#This Row],[Item Weight
(Please Select from the list)]]</f>
        <v>1.716</v>
      </c>
      <c r="P581" s="80">
        <v>3</v>
      </c>
      <c r="Q581" t="s">
        <v>31</v>
      </c>
      <c r="R581" t="s">
        <v>3998</v>
      </c>
      <c r="S581" t="s">
        <v>43</v>
      </c>
      <c r="T581" t="s">
        <v>3844</v>
      </c>
      <c r="U581" t="s">
        <v>30</v>
      </c>
      <c r="V581" t="s">
        <v>3815</v>
      </c>
      <c r="W581" s="88" t="s">
        <v>4034</v>
      </c>
    </row>
    <row r="582" spans="1:23" ht="14.4">
      <c r="A582" s="7" t="s">
        <v>116</v>
      </c>
      <c r="B582" t="s">
        <v>2548</v>
      </c>
      <c r="C582" t="s">
        <v>2549</v>
      </c>
      <c r="D582" s="7" t="s">
        <v>1215</v>
      </c>
      <c r="E582" s="7" t="s">
        <v>1216</v>
      </c>
      <c r="F582" s="18" t="s">
        <v>1214</v>
      </c>
      <c r="G582" s="7" t="s">
        <v>2584</v>
      </c>
      <c r="H582" s="85" t="s">
        <v>3621</v>
      </c>
      <c r="I582" s="85" t="s">
        <v>2718</v>
      </c>
      <c r="J582" s="85" t="s">
        <v>3622</v>
      </c>
      <c r="K582" s="85" t="s">
        <v>16</v>
      </c>
      <c r="L582" s="85">
        <v>2</v>
      </c>
      <c r="M582" s="20">
        <f>Table9[[#This Row],[Rate
(Please Select from the list)]]/5</f>
        <v>0.4</v>
      </c>
      <c r="N582" s="77">
        <v>2.86</v>
      </c>
      <c r="O582" s="74">
        <f>Table9[[#This Row],[Score %]]*Table9[[#This Row],[Item Weight
(Please Select from the list)]]</f>
        <v>1.1439999999999999</v>
      </c>
      <c r="P582" s="80">
        <v>3</v>
      </c>
      <c r="Q582" t="s">
        <v>46</v>
      </c>
      <c r="R582" t="s">
        <v>3999</v>
      </c>
      <c r="S582" t="s">
        <v>29</v>
      </c>
      <c r="T582" s="86">
        <v>45421</v>
      </c>
      <c r="U582" t="s">
        <v>14</v>
      </c>
      <c r="V582" t="s">
        <v>3847</v>
      </c>
      <c r="W582" s="88" t="s">
        <v>4034</v>
      </c>
    </row>
    <row r="583" spans="1:23" ht="14.4">
      <c r="A583" s="7" t="s">
        <v>116</v>
      </c>
      <c r="B583" t="s">
        <v>2548</v>
      </c>
      <c r="C583" t="s">
        <v>2549</v>
      </c>
      <c r="D583" s="7" t="s">
        <v>1218</v>
      </c>
      <c r="E583" s="7" t="s">
        <v>1219</v>
      </c>
      <c r="F583" s="18" t="s">
        <v>1217</v>
      </c>
      <c r="G583" s="7" t="s">
        <v>2584</v>
      </c>
      <c r="H583" s="85" t="s">
        <v>3623</v>
      </c>
      <c r="I583" s="85" t="s">
        <v>2754</v>
      </c>
      <c r="J583" s="85" t="s">
        <v>3624</v>
      </c>
      <c r="K583" s="85" t="s">
        <v>16</v>
      </c>
      <c r="L583" s="85">
        <v>2</v>
      </c>
      <c r="M583" s="20">
        <f>Table9[[#This Row],[Rate
(Please Select from the list)]]/5</f>
        <v>0.4</v>
      </c>
      <c r="N583" s="77">
        <v>2.86</v>
      </c>
      <c r="O583" s="74">
        <f>Table9[[#This Row],[Score %]]*Table9[[#This Row],[Item Weight
(Please Select from the list)]]</f>
        <v>1.1439999999999999</v>
      </c>
      <c r="P583" s="80">
        <v>3</v>
      </c>
      <c r="Q583" t="s">
        <v>15</v>
      </c>
      <c r="R583"/>
      <c r="S583" t="s">
        <v>29</v>
      </c>
      <c r="T583"/>
      <c r="U583" t="s">
        <v>44</v>
      </c>
      <c r="V583" t="s">
        <v>3831</v>
      </c>
      <c r="W583" s="88" t="s">
        <v>4034</v>
      </c>
    </row>
    <row r="584" spans="1:23" ht="14.4">
      <c r="A584" s="7" t="s">
        <v>116</v>
      </c>
      <c r="B584" t="s">
        <v>2548</v>
      </c>
      <c r="C584" t="s">
        <v>2549</v>
      </c>
      <c r="D584" s="7" t="s">
        <v>1221</v>
      </c>
      <c r="E584" s="7" t="s">
        <v>1222</v>
      </c>
      <c r="F584" s="18" t="s">
        <v>1220</v>
      </c>
      <c r="G584" s="7" t="s">
        <v>2584</v>
      </c>
      <c r="H584" s="85" t="s">
        <v>3625</v>
      </c>
      <c r="I584" s="85" t="s">
        <v>2754</v>
      </c>
      <c r="J584" s="85"/>
      <c r="K584" s="85" t="s">
        <v>855</v>
      </c>
      <c r="L584" s="85">
        <v>4</v>
      </c>
      <c r="M584" s="20">
        <f>Table9[[#This Row],[Rate
(Please Select from the list)]]/5</f>
        <v>0.8</v>
      </c>
      <c r="N584" s="77">
        <v>2.86</v>
      </c>
      <c r="O584" s="74">
        <f>Table9[[#This Row],[Score %]]*Table9[[#This Row],[Item Weight
(Please Select from the list)]]</f>
        <v>2.2879999999999998</v>
      </c>
      <c r="P584" s="80">
        <v>3</v>
      </c>
      <c r="Q584" t="s">
        <v>15</v>
      </c>
      <c r="R584"/>
      <c r="S584" t="s">
        <v>57</v>
      </c>
      <c r="T584"/>
      <c r="U584" t="s">
        <v>58</v>
      </c>
      <c r="V584" t="s">
        <v>3812</v>
      </c>
      <c r="W584" s="88" t="s">
        <v>4034</v>
      </c>
    </row>
    <row r="585" spans="1:23" ht="14.4">
      <c r="A585" s="7" t="s">
        <v>116</v>
      </c>
      <c r="B585" t="s">
        <v>2548</v>
      </c>
      <c r="C585" t="s">
        <v>2549</v>
      </c>
      <c r="D585" s="7" t="s">
        <v>1224</v>
      </c>
      <c r="E585" s="7" t="s">
        <v>1225</v>
      </c>
      <c r="F585" s="18" t="s">
        <v>1223</v>
      </c>
      <c r="G585" s="7" t="s">
        <v>2584</v>
      </c>
      <c r="H585" s="85" t="s">
        <v>3626</v>
      </c>
      <c r="I585" s="85" t="s">
        <v>2731</v>
      </c>
      <c r="J585" s="85" t="s">
        <v>3627</v>
      </c>
      <c r="K585" s="85" t="s">
        <v>16</v>
      </c>
      <c r="L585" s="85">
        <v>3</v>
      </c>
      <c r="M585" s="20">
        <f>Table9[[#This Row],[Rate
(Please Select from the list)]]/5</f>
        <v>0.6</v>
      </c>
      <c r="N585" s="77">
        <v>2.86</v>
      </c>
      <c r="O585" s="74">
        <f>Table9[[#This Row],[Score %]]*Table9[[#This Row],[Item Weight
(Please Select from the list)]]</f>
        <v>1.716</v>
      </c>
      <c r="P585" s="80">
        <v>3</v>
      </c>
      <c r="Q585" t="s">
        <v>31</v>
      </c>
      <c r="R585" t="s">
        <v>4000</v>
      </c>
      <c r="S585" t="s">
        <v>29</v>
      </c>
      <c r="T585" s="86">
        <v>45421</v>
      </c>
      <c r="U585" t="s">
        <v>30</v>
      </c>
      <c r="V585" t="s">
        <v>3825</v>
      </c>
      <c r="W585" s="88" t="s">
        <v>4034</v>
      </c>
    </row>
    <row r="586" spans="1:23" ht="14.4">
      <c r="A586" s="7" t="s">
        <v>116</v>
      </c>
      <c r="B586" t="s">
        <v>2548</v>
      </c>
      <c r="C586" t="s">
        <v>2549</v>
      </c>
      <c r="D586" s="7" t="s">
        <v>1227</v>
      </c>
      <c r="E586" s="7" t="s">
        <v>1228</v>
      </c>
      <c r="F586" s="18" t="s">
        <v>1226</v>
      </c>
      <c r="G586" s="7" t="s">
        <v>2584</v>
      </c>
      <c r="H586" s="85" t="s">
        <v>3628</v>
      </c>
      <c r="I586" s="85" t="s">
        <v>2795</v>
      </c>
      <c r="J586" s="85" t="s">
        <v>3629</v>
      </c>
      <c r="K586" s="85" t="s">
        <v>16</v>
      </c>
      <c r="L586" s="85">
        <v>3</v>
      </c>
      <c r="M586" s="20">
        <f>Table9[[#This Row],[Rate
(Please Select from the list)]]/5</f>
        <v>0.6</v>
      </c>
      <c r="N586" s="77">
        <v>2.86</v>
      </c>
      <c r="O586" s="74">
        <f>Table9[[#This Row],[Score %]]*Table9[[#This Row],[Item Weight
(Please Select from the list)]]</f>
        <v>1.716</v>
      </c>
      <c r="P586" s="80">
        <v>3</v>
      </c>
      <c r="Q586" t="s">
        <v>15</v>
      </c>
      <c r="R586" t="s">
        <v>4001</v>
      </c>
      <c r="S586" t="s">
        <v>29</v>
      </c>
      <c r="T586" s="86">
        <v>45421</v>
      </c>
      <c r="U586" t="s">
        <v>30</v>
      </c>
      <c r="V586" t="s">
        <v>3839</v>
      </c>
      <c r="W586" s="88" t="s">
        <v>4034</v>
      </c>
    </row>
    <row r="587" spans="1:23" ht="14.4">
      <c r="A587" s="7" t="s">
        <v>116</v>
      </c>
      <c r="B587" t="s">
        <v>2548</v>
      </c>
      <c r="C587" t="s">
        <v>2549</v>
      </c>
      <c r="D587" s="7" t="s">
        <v>1229</v>
      </c>
      <c r="E587" s="7" t="s">
        <v>1230</v>
      </c>
      <c r="F587" s="18" t="s">
        <v>944</v>
      </c>
      <c r="G587" s="7" t="s">
        <v>2584</v>
      </c>
      <c r="H587" s="85" t="s">
        <v>3630</v>
      </c>
      <c r="I587" s="85" t="s">
        <v>2754</v>
      </c>
      <c r="J587" s="85" t="s">
        <v>3631</v>
      </c>
      <c r="K587" s="85" t="s">
        <v>16</v>
      </c>
      <c r="L587" s="85">
        <v>3</v>
      </c>
      <c r="M587" s="20">
        <f>Table9[[#This Row],[Rate
(Please Select from the list)]]/5</f>
        <v>0.6</v>
      </c>
      <c r="N587" s="77">
        <v>2.86</v>
      </c>
      <c r="O587" s="74">
        <f>Table9[[#This Row],[Score %]]*Table9[[#This Row],[Item Weight
(Please Select from the list)]]</f>
        <v>1.716</v>
      </c>
      <c r="P587" s="80">
        <v>3</v>
      </c>
      <c r="Q587" t="s">
        <v>46</v>
      </c>
      <c r="R587"/>
      <c r="S587" t="s">
        <v>29</v>
      </c>
      <c r="T587"/>
      <c r="U587" t="s">
        <v>44</v>
      </c>
      <c r="V587" t="s">
        <v>3825</v>
      </c>
      <c r="W587" s="88" t="s">
        <v>4034</v>
      </c>
    </row>
    <row r="588" spans="1:23" ht="14.4">
      <c r="A588" s="7" t="s">
        <v>116</v>
      </c>
      <c r="B588" t="s">
        <v>2548</v>
      </c>
      <c r="C588" t="s">
        <v>2549</v>
      </c>
      <c r="D588" s="7" t="s">
        <v>1232</v>
      </c>
      <c r="E588" s="7" t="s">
        <v>1233</v>
      </c>
      <c r="F588" s="18" t="s">
        <v>1231</v>
      </c>
      <c r="G588" s="7" t="s">
        <v>2584</v>
      </c>
      <c r="H588" s="85" t="s">
        <v>3632</v>
      </c>
      <c r="I588" s="85" t="s">
        <v>2725</v>
      </c>
      <c r="J588" s="85" t="s">
        <v>3633</v>
      </c>
      <c r="K588" s="85" t="s">
        <v>16</v>
      </c>
      <c r="L588" s="85">
        <v>3</v>
      </c>
      <c r="M588" s="20">
        <f>Table9[[#This Row],[Rate
(Please Select from the list)]]/5</f>
        <v>0.6</v>
      </c>
      <c r="N588" s="77">
        <v>2.86</v>
      </c>
      <c r="O588" s="74">
        <f>Table9[[#This Row],[Score %]]*Table9[[#This Row],[Item Weight
(Please Select from the list)]]</f>
        <v>1.716</v>
      </c>
      <c r="P588" s="80">
        <v>3</v>
      </c>
      <c r="Q588" t="s">
        <v>46</v>
      </c>
      <c r="R588" t="s">
        <v>4002</v>
      </c>
      <c r="S588" t="s">
        <v>29</v>
      </c>
      <c r="T588" s="86">
        <v>45421</v>
      </c>
      <c r="U588" t="s">
        <v>30</v>
      </c>
      <c r="V588" t="s">
        <v>3815</v>
      </c>
      <c r="W588" s="88" t="s">
        <v>4034</v>
      </c>
    </row>
    <row r="589" spans="1:23" ht="14.4">
      <c r="A589" s="7" t="s">
        <v>116</v>
      </c>
      <c r="B589" t="s">
        <v>2548</v>
      </c>
      <c r="C589" t="s">
        <v>2549</v>
      </c>
      <c r="D589" s="7" t="s">
        <v>1235</v>
      </c>
      <c r="E589" s="7" t="s">
        <v>1236</v>
      </c>
      <c r="F589" s="18" t="s">
        <v>1234</v>
      </c>
      <c r="G589" s="7" t="s">
        <v>2584</v>
      </c>
      <c r="H589" s="85" t="s">
        <v>3634</v>
      </c>
      <c r="I589" s="85" t="s">
        <v>2731</v>
      </c>
      <c r="J589" s="85" t="s">
        <v>3635</v>
      </c>
      <c r="K589" s="85" t="s">
        <v>16</v>
      </c>
      <c r="L589" s="85">
        <v>2</v>
      </c>
      <c r="M589" s="20">
        <f>Table9[[#This Row],[Rate
(Please Select from the list)]]/5</f>
        <v>0.4</v>
      </c>
      <c r="N589" s="77">
        <v>2.86</v>
      </c>
      <c r="O589" s="74">
        <f>Table9[[#This Row],[Score %]]*Table9[[#This Row],[Item Weight
(Please Select from the list)]]</f>
        <v>1.1439999999999999</v>
      </c>
      <c r="P589" s="80">
        <v>3</v>
      </c>
      <c r="Q589" t="s">
        <v>46</v>
      </c>
      <c r="R589" t="s">
        <v>4003</v>
      </c>
      <c r="S589" t="s">
        <v>29</v>
      </c>
      <c r="T589" s="86">
        <v>45421</v>
      </c>
      <c r="U589" t="s">
        <v>14</v>
      </c>
      <c r="V589" t="s">
        <v>3834</v>
      </c>
      <c r="W589" s="88" t="s">
        <v>4034</v>
      </c>
    </row>
    <row r="590" spans="1:23" ht="14.4">
      <c r="A590" s="7" t="s">
        <v>120</v>
      </c>
      <c r="B590" t="s">
        <v>2563</v>
      </c>
      <c r="C590" t="s">
        <v>2564</v>
      </c>
      <c r="D590" s="7" t="s">
        <v>1238</v>
      </c>
      <c r="E590" s="7" t="s">
        <v>1239</v>
      </c>
      <c r="F590" s="18" t="s">
        <v>1237</v>
      </c>
      <c r="G590" s="7" t="s">
        <v>2584</v>
      </c>
      <c r="H590" s="85" t="s">
        <v>3636</v>
      </c>
      <c r="I590" s="85" t="s">
        <v>2718</v>
      </c>
      <c r="J590" s="85" t="s">
        <v>3637</v>
      </c>
      <c r="K590" s="85" t="s">
        <v>16</v>
      </c>
      <c r="L590" s="85">
        <v>3</v>
      </c>
      <c r="M590" s="20">
        <f>Table9[[#This Row],[Rate
(Please Select from the list)]]/5</f>
        <v>0.6</v>
      </c>
      <c r="N590" s="77">
        <v>2.61</v>
      </c>
      <c r="O590" s="74">
        <f>Table9[[#This Row],[Score %]]*Table9[[#This Row],[Item Weight
(Please Select from the list)]]</f>
        <v>1.5659999999999998</v>
      </c>
      <c r="P590" s="80">
        <v>3</v>
      </c>
      <c r="Q590" t="s">
        <v>59</v>
      </c>
      <c r="R590"/>
      <c r="S590" t="s">
        <v>43</v>
      </c>
      <c r="T590"/>
      <c r="U590" t="s">
        <v>58</v>
      </c>
      <c r="V590" t="s">
        <v>3815</v>
      </c>
      <c r="W590" s="88" t="s">
        <v>4034</v>
      </c>
    </row>
    <row r="591" spans="1:23" ht="14.4">
      <c r="A591" s="7" t="s">
        <v>120</v>
      </c>
      <c r="B591" t="s">
        <v>2563</v>
      </c>
      <c r="C591" t="s">
        <v>2564</v>
      </c>
      <c r="D591" s="7" t="s">
        <v>1241</v>
      </c>
      <c r="E591" s="7" t="s">
        <v>1242</v>
      </c>
      <c r="F591" s="18" t="s">
        <v>1240</v>
      </c>
      <c r="G591" s="7" t="s">
        <v>2584</v>
      </c>
      <c r="H591" s="85" t="s">
        <v>3638</v>
      </c>
      <c r="I591" s="85" t="s">
        <v>2736</v>
      </c>
      <c r="J591" s="85"/>
      <c r="K591" s="85" t="s">
        <v>16</v>
      </c>
      <c r="L591" s="85">
        <v>4</v>
      </c>
      <c r="M591" s="20">
        <f>Table9[[#This Row],[Rate
(Please Select from the list)]]/5</f>
        <v>0.8</v>
      </c>
      <c r="N591" s="77">
        <v>2.61</v>
      </c>
      <c r="O591" s="74">
        <f>Table9[[#This Row],[Score %]]*Table9[[#This Row],[Item Weight
(Please Select from the list)]]</f>
        <v>2.0880000000000001</v>
      </c>
      <c r="P591" s="80">
        <v>3</v>
      </c>
      <c r="Q591" t="s">
        <v>59</v>
      </c>
      <c r="R591"/>
      <c r="S591" t="s">
        <v>57</v>
      </c>
      <c r="T591"/>
      <c r="U591" t="s">
        <v>58</v>
      </c>
      <c r="V591" t="s">
        <v>3812</v>
      </c>
      <c r="W591" s="88" t="s">
        <v>4034</v>
      </c>
    </row>
    <row r="592" spans="1:23" ht="14.4">
      <c r="A592" s="7" t="s">
        <v>120</v>
      </c>
      <c r="B592" t="s">
        <v>2563</v>
      </c>
      <c r="C592" t="s">
        <v>2564</v>
      </c>
      <c r="D592" s="7" t="s">
        <v>1244</v>
      </c>
      <c r="E592" s="7" t="s">
        <v>1245</v>
      </c>
      <c r="F592" s="18" t="s">
        <v>1243</v>
      </c>
      <c r="G592" s="7" t="s">
        <v>2584</v>
      </c>
      <c r="H592" s="85" t="s">
        <v>3639</v>
      </c>
      <c r="I592" s="85" t="s">
        <v>2725</v>
      </c>
      <c r="J592" s="85"/>
      <c r="K592" s="85" t="s">
        <v>855</v>
      </c>
      <c r="L592" s="85">
        <v>4</v>
      </c>
      <c r="M592" s="20">
        <f>Table9[[#This Row],[Rate
(Please Select from the list)]]/5</f>
        <v>0.8</v>
      </c>
      <c r="N592" s="77">
        <v>2.61</v>
      </c>
      <c r="O592" s="74">
        <f>Table9[[#This Row],[Score %]]*Table9[[#This Row],[Item Weight
(Please Select from the list)]]</f>
        <v>2.0880000000000001</v>
      </c>
      <c r="P592" s="80">
        <v>3</v>
      </c>
      <c r="Q592" t="s">
        <v>31</v>
      </c>
      <c r="R592"/>
      <c r="S592" t="s">
        <v>57</v>
      </c>
      <c r="T592"/>
      <c r="U592" t="s">
        <v>44</v>
      </c>
      <c r="V592" t="s">
        <v>3812</v>
      </c>
      <c r="W592" s="88" t="s">
        <v>4034</v>
      </c>
    </row>
    <row r="593" spans="1:23" ht="14.4">
      <c r="A593" s="7" t="s">
        <v>120</v>
      </c>
      <c r="B593" t="s">
        <v>2563</v>
      </c>
      <c r="C593" t="s">
        <v>2564</v>
      </c>
      <c r="D593" s="7" t="s">
        <v>1247</v>
      </c>
      <c r="E593" s="7" t="s">
        <v>1248</v>
      </c>
      <c r="F593" s="18" t="s">
        <v>1246</v>
      </c>
      <c r="G593" s="7" t="s">
        <v>2584</v>
      </c>
      <c r="H593" s="85" t="s">
        <v>3640</v>
      </c>
      <c r="I593" s="85" t="s">
        <v>2728</v>
      </c>
      <c r="J593" s="85" t="s">
        <v>3641</v>
      </c>
      <c r="K593" s="85" t="s">
        <v>16</v>
      </c>
      <c r="L593" s="85">
        <v>3</v>
      </c>
      <c r="M593" s="20">
        <f>Table9[[#This Row],[Rate
(Please Select from the list)]]/5</f>
        <v>0.6</v>
      </c>
      <c r="N593" s="77">
        <v>3.48</v>
      </c>
      <c r="O593" s="74">
        <f>Table9[[#This Row],[Score %]]*Table9[[#This Row],[Item Weight
(Please Select from the list)]]</f>
        <v>2.0880000000000001</v>
      </c>
      <c r="P593" s="80">
        <v>4</v>
      </c>
      <c r="Q593" t="s">
        <v>15</v>
      </c>
      <c r="R593" t="s">
        <v>4004</v>
      </c>
      <c r="S593" t="s">
        <v>29</v>
      </c>
      <c r="T593" s="86">
        <v>45421</v>
      </c>
      <c r="U593" t="s">
        <v>30</v>
      </c>
      <c r="V593" t="s">
        <v>3825</v>
      </c>
      <c r="W593" s="88" t="s">
        <v>4034</v>
      </c>
    </row>
    <row r="594" spans="1:23" ht="14.4">
      <c r="A594" s="7" t="s">
        <v>120</v>
      </c>
      <c r="B594" t="s">
        <v>2563</v>
      </c>
      <c r="C594" t="s">
        <v>2564</v>
      </c>
      <c r="D594" s="7" t="s">
        <v>1250</v>
      </c>
      <c r="E594" s="7" t="s">
        <v>1251</v>
      </c>
      <c r="F594" s="18" t="s">
        <v>1249</v>
      </c>
      <c r="G594" s="7" t="s">
        <v>2584</v>
      </c>
      <c r="H594" s="85" t="s">
        <v>3642</v>
      </c>
      <c r="I594" s="85" t="s">
        <v>2725</v>
      </c>
      <c r="J594" s="85" t="s">
        <v>3643</v>
      </c>
      <c r="K594" s="85" t="s">
        <v>16</v>
      </c>
      <c r="L594" s="85">
        <v>3</v>
      </c>
      <c r="M594" s="20">
        <f>Table9[[#This Row],[Rate
(Please Select from the list)]]/5</f>
        <v>0.6</v>
      </c>
      <c r="N594" s="77">
        <v>3.48</v>
      </c>
      <c r="O594" s="74">
        <f>Table9[[#This Row],[Score %]]*Table9[[#This Row],[Item Weight
(Please Select from the list)]]</f>
        <v>2.0880000000000001</v>
      </c>
      <c r="P594" s="80">
        <v>4</v>
      </c>
      <c r="Q594" t="s">
        <v>46</v>
      </c>
      <c r="R594"/>
      <c r="S594" t="s">
        <v>43</v>
      </c>
      <c r="T594"/>
      <c r="U594" t="s">
        <v>44</v>
      </c>
      <c r="V594" t="s">
        <v>3839</v>
      </c>
      <c r="W594" s="88" t="s">
        <v>4034</v>
      </c>
    </row>
    <row r="595" spans="1:23" ht="14.4">
      <c r="A595" s="7" t="s">
        <v>120</v>
      </c>
      <c r="B595" t="s">
        <v>2563</v>
      </c>
      <c r="C595" t="s">
        <v>2564</v>
      </c>
      <c r="D595" s="7" t="s">
        <v>1253</v>
      </c>
      <c r="E595" s="7" t="s">
        <v>1254</v>
      </c>
      <c r="F595" s="18" t="s">
        <v>1252</v>
      </c>
      <c r="G595" s="7" t="s">
        <v>2584</v>
      </c>
      <c r="H595" s="85" t="s">
        <v>3644</v>
      </c>
      <c r="I595" s="85" t="s">
        <v>2748</v>
      </c>
      <c r="J595" s="85" t="s">
        <v>3645</v>
      </c>
      <c r="K595" s="85" t="s">
        <v>16</v>
      </c>
      <c r="L595" s="85">
        <v>3</v>
      </c>
      <c r="M595" s="20">
        <f>Table9[[#This Row],[Rate
(Please Select from the list)]]/5</f>
        <v>0.6</v>
      </c>
      <c r="N595" s="77">
        <v>2.61</v>
      </c>
      <c r="O595" s="74">
        <f>Table9[[#This Row],[Score %]]*Table9[[#This Row],[Item Weight
(Please Select from the list)]]</f>
        <v>1.5659999999999998</v>
      </c>
      <c r="P595" s="80">
        <v>3</v>
      </c>
      <c r="Q595" t="s">
        <v>46</v>
      </c>
      <c r="R595" t="s">
        <v>4005</v>
      </c>
      <c r="S595" t="s">
        <v>29</v>
      </c>
      <c r="T595" s="86">
        <v>45421</v>
      </c>
      <c r="U595" t="s">
        <v>14</v>
      </c>
      <c r="V595" t="s">
        <v>3839</v>
      </c>
      <c r="W595" s="88" t="s">
        <v>4034</v>
      </c>
    </row>
    <row r="596" spans="1:23" ht="14.4">
      <c r="A596" s="7" t="s">
        <v>120</v>
      </c>
      <c r="B596" t="s">
        <v>2563</v>
      </c>
      <c r="C596" t="s">
        <v>2564</v>
      </c>
      <c r="D596" s="7" t="s">
        <v>1255</v>
      </c>
      <c r="E596" s="7" t="s">
        <v>1256</v>
      </c>
      <c r="F596" s="18" t="s">
        <v>894</v>
      </c>
      <c r="G596" s="7" t="s">
        <v>2584</v>
      </c>
      <c r="H596" s="85" t="s">
        <v>3646</v>
      </c>
      <c r="I596" s="85" t="s">
        <v>2748</v>
      </c>
      <c r="J596" s="85"/>
      <c r="K596" s="85" t="s">
        <v>855</v>
      </c>
      <c r="L596" s="85">
        <v>4</v>
      </c>
      <c r="M596" s="20">
        <f>Table9[[#This Row],[Rate
(Please Select from the list)]]/5</f>
        <v>0.8</v>
      </c>
      <c r="N596" s="77">
        <v>4.3499999999999996</v>
      </c>
      <c r="O596" s="74">
        <f>Table9[[#This Row],[Score %]]*Table9[[#This Row],[Item Weight
(Please Select from the list)]]</f>
        <v>3.48</v>
      </c>
      <c r="P596" s="80">
        <v>5</v>
      </c>
      <c r="Q596" t="s">
        <v>46</v>
      </c>
      <c r="R596"/>
      <c r="S596" t="s">
        <v>57</v>
      </c>
      <c r="T596"/>
      <c r="U596" t="s">
        <v>58</v>
      </c>
      <c r="V596" t="s">
        <v>3812</v>
      </c>
      <c r="W596" s="88" t="s">
        <v>4034</v>
      </c>
    </row>
    <row r="597" spans="1:23" ht="14.4">
      <c r="A597" s="7" t="s">
        <v>120</v>
      </c>
      <c r="B597" t="s">
        <v>2563</v>
      </c>
      <c r="C597" t="s">
        <v>2564</v>
      </c>
      <c r="D597" s="7" t="s">
        <v>1257</v>
      </c>
      <c r="E597" s="7" t="s">
        <v>1258</v>
      </c>
      <c r="F597" s="18" t="s">
        <v>552</v>
      </c>
      <c r="G597" s="7" t="s">
        <v>2584</v>
      </c>
      <c r="H597" s="85" t="s">
        <v>3647</v>
      </c>
      <c r="I597" s="85" t="s">
        <v>2739</v>
      </c>
      <c r="J597" s="85" t="s">
        <v>3648</v>
      </c>
      <c r="K597" s="85" t="s">
        <v>16</v>
      </c>
      <c r="L597" s="85">
        <v>3</v>
      </c>
      <c r="M597" s="20">
        <f>Table9[[#This Row],[Rate
(Please Select from the list)]]/5</f>
        <v>0.6</v>
      </c>
      <c r="N597" s="77">
        <v>2.61</v>
      </c>
      <c r="O597" s="74">
        <f>Table9[[#This Row],[Score %]]*Table9[[#This Row],[Item Weight
(Please Select from the list)]]</f>
        <v>1.5659999999999998</v>
      </c>
      <c r="P597" s="80">
        <v>3</v>
      </c>
      <c r="Q597" t="s">
        <v>15</v>
      </c>
      <c r="R597" t="s">
        <v>4006</v>
      </c>
      <c r="S597" t="s">
        <v>29</v>
      </c>
      <c r="T597" s="86">
        <v>45421</v>
      </c>
      <c r="U597" t="s">
        <v>30</v>
      </c>
      <c r="V597" t="s">
        <v>3817</v>
      </c>
      <c r="W597" s="88" t="s">
        <v>4034</v>
      </c>
    </row>
    <row r="598" spans="1:23" ht="14.4">
      <c r="A598" s="7" t="s">
        <v>120</v>
      </c>
      <c r="B598" t="s">
        <v>2563</v>
      </c>
      <c r="C598" t="s">
        <v>2564</v>
      </c>
      <c r="D598" s="7" t="s">
        <v>1260</v>
      </c>
      <c r="E598" s="7" t="s">
        <v>1261</v>
      </c>
      <c r="F598" s="18" t="s">
        <v>1259</v>
      </c>
      <c r="G598" s="7" t="s">
        <v>2584</v>
      </c>
      <c r="H598" s="85" t="s">
        <v>3649</v>
      </c>
      <c r="I598" s="85" t="s">
        <v>2718</v>
      </c>
      <c r="J598" s="85"/>
      <c r="K598" s="85" t="s">
        <v>855</v>
      </c>
      <c r="L598" s="85">
        <v>4</v>
      </c>
      <c r="M598" s="20">
        <f>Table9[[#This Row],[Rate
(Please Select from the list)]]/5</f>
        <v>0.8</v>
      </c>
      <c r="N598" s="77">
        <v>4.3499999999999996</v>
      </c>
      <c r="O598" s="74">
        <f>Table9[[#This Row],[Score %]]*Table9[[#This Row],[Item Weight
(Please Select from the list)]]</f>
        <v>3.48</v>
      </c>
      <c r="P598" s="80">
        <v>5</v>
      </c>
      <c r="Q598" t="s">
        <v>46</v>
      </c>
      <c r="R598"/>
      <c r="S598" t="s">
        <v>57</v>
      </c>
      <c r="T598"/>
      <c r="U598" t="s">
        <v>58</v>
      </c>
      <c r="V598" t="s">
        <v>3812</v>
      </c>
      <c r="W598" s="88" t="s">
        <v>4034</v>
      </c>
    </row>
    <row r="599" spans="1:23" ht="14.4">
      <c r="A599" s="7" t="s">
        <v>120</v>
      </c>
      <c r="B599" t="s">
        <v>2563</v>
      </c>
      <c r="C599" t="s">
        <v>2564</v>
      </c>
      <c r="D599" s="7" t="s">
        <v>1263</v>
      </c>
      <c r="E599" s="7" t="s">
        <v>136</v>
      </c>
      <c r="F599" s="18" t="s">
        <v>1262</v>
      </c>
      <c r="G599" s="7" t="s">
        <v>2584</v>
      </c>
      <c r="H599" s="85" t="s">
        <v>3650</v>
      </c>
      <c r="I599" s="85" t="s">
        <v>2718</v>
      </c>
      <c r="J599" s="85"/>
      <c r="K599" s="85" t="s">
        <v>47</v>
      </c>
      <c r="L599" s="85">
        <v>4</v>
      </c>
      <c r="M599" s="20">
        <f>Table9[[#This Row],[Rate
(Please Select from the list)]]/5</f>
        <v>0.8</v>
      </c>
      <c r="N599" s="77">
        <v>2.61</v>
      </c>
      <c r="O599" s="74">
        <f>Table9[[#This Row],[Score %]]*Table9[[#This Row],[Item Weight
(Please Select from the list)]]</f>
        <v>2.0880000000000001</v>
      </c>
      <c r="P599" s="80">
        <v>3</v>
      </c>
      <c r="Q599" t="s">
        <v>46</v>
      </c>
      <c r="R599"/>
      <c r="S599" t="s">
        <v>57</v>
      </c>
      <c r="T599"/>
      <c r="U599" t="s">
        <v>58</v>
      </c>
      <c r="V599" t="s">
        <v>3812</v>
      </c>
      <c r="W599" s="88" t="s">
        <v>4034</v>
      </c>
    </row>
    <row r="600" spans="1:23" ht="14.4">
      <c r="A600" s="7" t="s">
        <v>120</v>
      </c>
      <c r="B600" t="s">
        <v>2563</v>
      </c>
      <c r="C600" t="s">
        <v>2564</v>
      </c>
      <c r="D600" s="7" t="s">
        <v>1265</v>
      </c>
      <c r="E600" s="7" t="s">
        <v>1266</v>
      </c>
      <c r="F600" s="18" t="s">
        <v>1264</v>
      </c>
      <c r="G600" s="7" t="s">
        <v>2584</v>
      </c>
      <c r="H600" s="85" t="s">
        <v>3651</v>
      </c>
      <c r="I600" s="85" t="s">
        <v>2754</v>
      </c>
      <c r="J600" s="85" t="s">
        <v>3652</v>
      </c>
      <c r="K600" s="85" t="s">
        <v>16</v>
      </c>
      <c r="L600" s="85">
        <v>3</v>
      </c>
      <c r="M600" s="20">
        <f>Table9[[#This Row],[Rate
(Please Select from the list)]]/5</f>
        <v>0.6</v>
      </c>
      <c r="N600" s="77">
        <v>2.61</v>
      </c>
      <c r="O600" s="74">
        <f>Table9[[#This Row],[Score %]]*Table9[[#This Row],[Item Weight
(Please Select from the list)]]</f>
        <v>1.5659999999999998</v>
      </c>
      <c r="P600" s="80">
        <v>3</v>
      </c>
      <c r="Q600" t="s">
        <v>15</v>
      </c>
      <c r="R600"/>
      <c r="S600" t="s">
        <v>29</v>
      </c>
      <c r="T600"/>
      <c r="U600" t="s">
        <v>44</v>
      </c>
      <c r="V600" t="s">
        <v>3815</v>
      </c>
      <c r="W600" s="88" t="s">
        <v>4034</v>
      </c>
    </row>
    <row r="601" spans="1:23" ht="14.4">
      <c r="A601" s="7" t="s">
        <v>120</v>
      </c>
      <c r="B601" t="s">
        <v>2563</v>
      </c>
      <c r="C601" t="s">
        <v>2564</v>
      </c>
      <c r="D601" s="7" t="s">
        <v>1268</v>
      </c>
      <c r="E601" s="7" t="s">
        <v>1269</v>
      </c>
      <c r="F601" s="18" t="s">
        <v>1267</v>
      </c>
      <c r="G601" s="7" t="s">
        <v>2584</v>
      </c>
      <c r="H601" s="85" t="s">
        <v>3653</v>
      </c>
      <c r="I601" s="85" t="s">
        <v>2728</v>
      </c>
      <c r="J601" s="85" t="s">
        <v>3654</v>
      </c>
      <c r="K601" s="85" t="s">
        <v>16</v>
      </c>
      <c r="L601" s="85">
        <v>3</v>
      </c>
      <c r="M601" s="20">
        <f>Table9[[#This Row],[Rate
(Please Select from the list)]]/5</f>
        <v>0.6</v>
      </c>
      <c r="N601" s="77">
        <v>2.61</v>
      </c>
      <c r="O601" s="74">
        <f>Table9[[#This Row],[Score %]]*Table9[[#This Row],[Item Weight
(Please Select from the list)]]</f>
        <v>1.5659999999999998</v>
      </c>
      <c r="P601" s="80">
        <v>3</v>
      </c>
      <c r="Q601" t="s">
        <v>46</v>
      </c>
      <c r="R601"/>
      <c r="S601" t="s">
        <v>43</v>
      </c>
      <c r="T601"/>
      <c r="U601" t="s">
        <v>44</v>
      </c>
      <c r="V601" t="s">
        <v>3825</v>
      </c>
      <c r="W601" s="88" t="s">
        <v>4034</v>
      </c>
    </row>
    <row r="602" spans="1:23" ht="14.4">
      <c r="A602" s="7" t="s">
        <v>120</v>
      </c>
      <c r="B602" t="s">
        <v>2563</v>
      </c>
      <c r="C602" t="s">
        <v>2564</v>
      </c>
      <c r="D602" s="7" t="s">
        <v>1271</v>
      </c>
      <c r="E602" s="7" t="s">
        <v>1272</v>
      </c>
      <c r="F602" s="18" t="s">
        <v>1270</v>
      </c>
      <c r="G602" s="7" t="s">
        <v>2584</v>
      </c>
      <c r="H602" s="85" t="s">
        <v>3655</v>
      </c>
      <c r="I602" s="85" t="s">
        <v>2728</v>
      </c>
      <c r="J602" s="85" t="s">
        <v>3656</v>
      </c>
      <c r="K602" s="85" t="s">
        <v>16</v>
      </c>
      <c r="L602" s="85">
        <v>3</v>
      </c>
      <c r="M602" s="20">
        <f>Table9[[#This Row],[Rate
(Please Select from the list)]]/5</f>
        <v>0.6</v>
      </c>
      <c r="N602" s="77">
        <v>2.61</v>
      </c>
      <c r="O602" s="74">
        <f>Table9[[#This Row],[Score %]]*Table9[[#This Row],[Item Weight
(Please Select from the list)]]</f>
        <v>1.5659999999999998</v>
      </c>
      <c r="P602" s="80">
        <v>3</v>
      </c>
      <c r="Q602" t="s">
        <v>46</v>
      </c>
      <c r="R602" t="s">
        <v>4007</v>
      </c>
      <c r="S602" t="s">
        <v>29</v>
      </c>
      <c r="T602" s="86">
        <v>45421</v>
      </c>
      <c r="U602" t="s">
        <v>14</v>
      </c>
      <c r="V602" t="s">
        <v>3813</v>
      </c>
      <c r="W602" s="88" t="s">
        <v>4034</v>
      </c>
    </row>
    <row r="603" spans="1:23" ht="14.4">
      <c r="A603" s="7" t="s">
        <v>120</v>
      </c>
      <c r="B603" t="s">
        <v>2563</v>
      </c>
      <c r="C603" t="s">
        <v>2564</v>
      </c>
      <c r="D603" s="7" t="s">
        <v>1274</v>
      </c>
      <c r="E603" s="7" t="s">
        <v>1275</v>
      </c>
      <c r="F603" s="18" t="s">
        <v>1273</v>
      </c>
      <c r="G603" s="7" t="s">
        <v>2584</v>
      </c>
      <c r="H603" s="85" t="s">
        <v>3657</v>
      </c>
      <c r="I603" s="85" t="s">
        <v>2718</v>
      </c>
      <c r="J603" s="85" t="s">
        <v>3658</v>
      </c>
      <c r="K603" s="85" t="s">
        <v>16</v>
      </c>
      <c r="L603" s="85">
        <v>3</v>
      </c>
      <c r="M603" s="20">
        <f>Table9[[#This Row],[Rate
(Please Select from the list)]]/5</f>
        <v>0.6</v>
      </c>
      <c r="N603" s="77">
        <v>3.48</v>
      </c>
      <c r="O603" s="74">
        <f>Table9[[#This Row],[Score %]]*Table9[[#This Row],[Item Weight
(Please Select from the list)]]</f>
        <v>2.0880000000000001</v>
      </c>
      <c r="P603" s="80">
        <v>4</v>
      </c>
      <c r="Q603" t="s">
        <v>59</v>
      </c>
      <c r="R603"/>
      <c r="S603" t="s">
        <v>43</v>
      </c>
      <c r="T603"/>
      <c r="U603" t="s">
        <v>58</v>
      </c>
      <c r="V603" t="s">
        <v>3813</v>
      </c>
      <c r="W603" s="88" t="s">
        <v>4034</v>
      </c>
    </row>
    <row r="604" spans="1:23" ht="14.4">
      <c r="A604" s="7" t="s">
        <v>120</v>
      </c>
      <c r="B604" t="s">
        <v>2563</v>
      </c>
      <c r="C604" t="s">
        <v>2564</v>
      </c>
      <c r="D604" s="7" t="s">
        <v>1277</v>
      </c>
      <c r="E604" s="7" t="s">
        <v>1278</v>
      </c>
      <c r="F604" s="18" t="s">
        <v>1276</v>
      </c>
      <c r="G604" s="7" t="s">
        <v>2584</v>
      </c>
      <c r="H604" s="85" t="s">
        <v>3659</v>
      </c>
      <c r="I604" s="85" t="s">
        <v>2731</v>
      </c>
      <c r="J604" s="85" t="s">
        <v>3660</v>
      </c>
      <c r="K604" s="85" t="s">
        <v>16</v>
      </c>
      <c r="L604" s="85">
        <v>3</v>
      </c>
      <c r="M604" s="20">
        <f>Table9[[#This Row],[Rate
(Please Select from the list)]]/5</f>
        <v>0.6</v>
      </c>
      <c r="N604" s="77">
        <v>3.48</v>
      </c>
      <c r="O604" s="74">
        <f>Table9[[#This Row],[Score %]]*Table9[[#This Row],[Item Weight
(Please Select from the list)]]</f>
        <v>2.0880000000000001</v>
      </c>
      <c r="P604" s="80">
        <v>4</v>
      </c>
      <c r="Q604" t="s">
        <v>46</v>
      </c>
      <c r="R604"/>
      <c r="S604" t="s">
        <v>43</v>
      </c>
      <c r="T604"/>
      <c r="U604" t="s">
        <v>58</v>
      </c>
      <c r="V604" t="s">
        <v>3815</v>
      </c>
      <c r="W604" s="88" t="s">
        <v>4034</v>
      </c>
    </row>
    <row r="605" spans="1:23" ht="14.4">
      <c r="A605" s="7" t="s">
        <v>120</v>
      </c>
      <c r="B605" t="s">
        <v>2563</v>
      </c>
      <c r="C605" t="s">
        <v>2564</v>
      </c>
      <c r="D605" s="7" t="s">
        <v>1280</v>
      </c>
      <c r="E605" s="7" t="s">
        <v>1281</v>
      </c>
      <c r="F605" s="18" t="s">
        <v>1279</v>
      </c>
      <c r="G605" s="7" t="s">
        <v>2584</v>
      </c>
      <c r="H605" s="85" t="s">
        <v>3661</v>
      </c>
      <c r="I605" s="85" t="s">
        <v>2754</v>
      </c>
      <c r="J605" s="85" t="s">
        <v>3662</v>
      </c>
      <c r="K605" s="85" t="s">
        <v>16</v>
      </c>
      <c r="L605" s="85">
        <v>3</v>
      </c>
      <c r="M605" s="20">
        <f>Table9[[#This Row],[Rate
(Please Select from the list)]]/5</f>
        <v>0.6</v>
      </c>
      <c r="N605" s="77">
        <v>2.61</v>
      </c>
      <c r="O605" s="74">
        <f>Table9[[#This Row],[Score %]]*Table9[[#This Row],[Item Weight
(Please Select from the list)]]</f>
        <v>1.5659999999999998</v>
      </c>
      <c r="P605" s="80">
        <v>3</v>
      </c>
      <c r="Q605" t="s">
        <v>46</v>
      </c>
      <c r="R605"/>
      <c r="S605" t="s">
        <v>43</v>
      </c>
      <c r="T605"/>
      <c r="U605" t="s">
        <v>58</v>
      </c>
      <c r="V605" t="s">
        <v>3813</v>
      </c>
      <c r="W605" s="88" t="s">
        <v>4034</v>
      </c>
    </row>
    <row r="606" spans="1:23" ht="14.4">
      <c r="A606" s="7" t="s">
        <v>120</v>
      </c>
      <c r="B606" t="s">
        <v>2563</v>
      </c>
      <c r="C606" t="s">
        <v>2564</v>
      </c>
      <c r="D606" s="7" t="s">
        <v>1283</v>
      </c>
      <c r="E606" s="7" t="s">
        <v>1284</v>
      </c>
      <c r="F606" s="18" t="s">
        <v>1282</v>
      </c>
      <c r="G606" s="7" t="s">
        <v>2584</v>
      </c>
      <c r="H606" s="85" t="s">
        <v>3663</v>
      </c>
      <c r="I606" s="85" t="s">
        <v>2795</v>
      </c>
      <c r="J606" s="85"/>
      <c r="K606" s="85" t="s">
        <v>855</v>
      </c>
      <c r="L606" s="85">
        <v>5</v>
      </c>
      <c r="M606" s="20">
        <f>Table9[[#This Row],[Rate
(Please Select from the list)]]/5</f>
        <v>1</v>
      </c>
      <c r="N606" s="77">
        <v>2.61</v>
      </c>
      <c r="O606" s="74">
        <f>Table9[[#This Row],[Score %]]*Table9[[#This Row],[Item Weight
(Please Select from the list)]]</f>
        <v>2.61</v>
      </c>
      <c r="P606" s="80">
        <v>3</v>
      </c>
      <c r="Q606" t="s">
        <v>46</v>
      </c>
      <c r="R606"/>
      <c r="S606" t="s">
        <v>57</v>
      </c>
      <c r="T606"/>
      <c r="U606" t="s">
        <v>44</v>
      </c>
      <c r="V606" t="s">
        <v>3851</v>
      </c>
      <c r="W606" s="88" t="s">
        <v>4034</v>
      </c>
    </row>
    <row r="607" spans="1:23" ht="14.4">
      <c r="A607" s="7" t="s">
        <v>120</v>
      </c>
      <c r="B607" t="s">
        <v>2563</v>
      </c>
      <c r="C607" t="s">
        <v>2564</v>
      </c>
      <c r="D607" s="7" t="s">
        <v>1286</v>
      </c>
      <c r="E607" s="7" t="s">
        <v>1287</v>
      </c>
      <c r="F607" s="18" t="s">
        <v>1285</v>
      </c>
      <c r="G607" s="7" t="s">
        <v>2584</v>
      </c>
      <c r="H607" s="85" t="s">
        <v>3664</v>
      </c>
      <c r="I607" s="85" t="s">
        <v>2716</v>
      </c>
      <c r="J607" s="85"/>
      <c r="K607" s="85" t="s">
        <v>47</v>
      </c>
      <c r="L607" s="85">
        <v>4</v>
      </c>
      <c r="M607" s="20">
        <f>Table9[[#This Row],[Rate
(Please Select from the list)]]/5</f>
        <v>0.8</v>
      </c>
      <c r="N607" s="77">
        <v>2.61</v>
      </c>
      <c r="O607" s="74">
        <f>Table9[[#This Row],[Score %]]*Table9[[#This Row],[Item Weight
(Please Select from the list)]]</f>
        <v>2.0880000000000001</v>
      </c>
      <c r="P607" s="80">
        <v>3</v>
      </c>
      <c r="Q607" t="s">
        <v>31</v>
      </c>
      <c r="R607" t="s">
        <v>4008</v>
      </c>
      <c r="S607" t="s">
        <v>43</v>
      </c>
      <c r="T607" t="s">
        <v>3844</v>
      </c>
      <c r="U607" t="s">
        <v>30</v>
      </c>
      <c r="V607" t="s">
        <v>3812</v>
      </c>
      <c r="W607" s="88" t="s">
        <v>4034</v>
      </c>
    </row>
    <row r="608" spans="1:23" ht="14.4">
      <c r="A608" s="7" t="s">
        <v>120</v>
      </c>
      <c r="B608" t="s">
        <v>2563</v>
      </c>
      <c r="C608" t="s">
        <v>2564</v>
      </c>
      <c r="D608" s="7" t="s">
        <v>1289</v>
      </c>
      <c r="E608" s="7" t="s">
        <v>1290</v>
      </c>
      <c r="F608" s="18" t="s">
        <v>1288</v>
      </c>
      <c r="G608" s="7" t="s">
        <v>2584</v>
      </c>
      <c r="H608" s="85" t="s">
        <v>3665</v>
      </c>
      <c r="I608" s="85" t="s">
        <v>2739</v>
      </c>
      <c r="J608" s="85"/>
      <c r="K608" s="85" t="s">
        <v>855</v>
      </c>
      <c r="L608" s="85">
        <v>4</v>
      </c>
      <c r="M608" s="20">
        <f>Table9[[#This Row],[Rate
(Please Select from the list)]]/5</f>
        <v>0.8</v>
      </c>
      <c r="N608" s="77">
        <v>2.61</v>
      </c>
      <c r="O608" s="74">
        <f>Table9[[#This Row],[Score %]]*Table9[[#This Row],[Item Weight
(Please Select from the list)]]</f>
        <v>2.0880000000000001</v>
      </c>
      <c r="P608" s="80">
        <v>3</v>
      </c>
      <c r="Q608" t="s">
        <v>15</v>
      </c>
      <c r="R608"/>
      <c r="S608" t="s">
        <v>57</v>
      </c>
      <c r="T608"/>
      <c r="U608" t="s">
        <v>44</v>
      </c>
      <c r="V608" t="s">
        <v>3812</v>
      </c>
      <c r="W608" s="88" t="s">
        <v>4034</v>
      </c>
    </row>
    <row r="609" spans="1:23" ht="14.4">
      <c r="A609" s="7" t="s">
        <v>120</v>
      </c>
      <c r="B609" t="s">
        <v>2563</v>
      </c>
      <c r="C609" t="s">
        <v>2564</v>
      </c>
      <c r="D609" s="7" t="s">
        <v>1292</v>
      </c>
      <c r="E609" s="7" t="s">
        <v>1293</v>
      </c>
      <c r="F609" s="18" t="s">
        <v>1291</v>
      </c>
      <c r="G609" s="7" t="s">
        <v>2584</v>
      </c>
      <c r="H609" s="85" t="s">
        <v>3666</v>
      </c>
      <c r="I609" s="85" t="s">
        <v>2754</v>
      </c>
      <c r="J609" s="85" t="s">
        <v>3667</v>
      </c>
      <c r="K609" s="85" t="s">
        <v>16</v>
      </c>
      <c r="L609" s="85">
        <v>1</v>
      </c>
      <c r="M609" s="20">
        <f>Table9[[#This Row],[Rate
(Please Select from the list)]]/5</f>
        <v>0.2</v>
      </c>
      <c r="N609" s="77">
        <v>2.61</v>
      </c>
      <c r="O609" s="74">
        <f>Table9[[#This Row],[Score %]]*Table9[[#This Row],[Item Weight
(Please Select from the list)]]</f>
        <v>0.52200000000000002</v>
      </c>
      <c r="P609" s="80">
        <v>3</v>
      </c>
      <c r="Q609" t="s">
        <v>46</v>
      </c>
      <c r="R609" t="s">
        <v>4009</v>
      </c>
      <c r="S609" t="s">
        <v>13</v>
      </c>
      <c r="T609" t="s">
        <v>3820</v>
      </c>
      <c r="U609" t="s">
        <v>14</v>
      </c>
      <c r="V609" t="s">
        <v>3827</v>
      </c>
      <c r="W609" s="88" t="s">
        <v>4034</v>
      </c>
    </row>
    <row r="610" spans="1:23" ht="14.4">
      <c r="A610" s="7" t="s">
        <v>120</v>
      </c>
      <c r="B610" t="s">
        <v>2563</v>
      </c>
      <c r="C610" t="s">
        <v>2564</v>
      </c>
      <c r="D610" s="7" t="s">
        <v>1295</v>
      </c>
      <c r="E610" s="7" t="s">
        <v>1296</v>
      </c>
      <c r="F610" s="18" t="s">
        <v>1294</v>
      </c>
      <c r="G610" s="7" t="s">
        <v>2584</v>
      </c>
      <c r="H610" s="85" t="s">
        <v>3668</v>
      </c>
      <c r="I610" s="85" t="s">
        <v>2739</v>
      </c>
      <c r="J610" s="85" t="s">
        <v>3669</v>
      </c>
      <c r="K610" s="85" t="s">
        <v>16</v>
      </c>
      <c r="L610" s="85">
        <v>3</v>
      </c>
      <c r="M610" s="20">
        <f>Table9[[#This Row],[Rate
(Please Select from the list)]]/5</f>
        <v>0.6</v>
      </c>
      <c r="N610" s="77">
        <v>2.61</v>
      </c>
      <c r="O610" s="74">
        <f>Table9[[#This Row],[Score %]]*Table9[[#This Row],[Item Weight
(Please Select from the list)]]</f>
        <v>1.5659999999999998</v>
      </c>
      <c r="P610" s="80">
        <v>3</v>
      </c>
      <c r="Q610" t="s">
        <v>15</v>
      </c>
      <c r="R610" t="s">
        <v>4010</v>
      </c>
      <c r="S610" t="s">
        <v>29</v>
      </c>
      <c r="T610" s="86">
        <v>45421</v>
      </c>
      <c r="U610" t="s">
        <v>30</v>
      </c>
      <c r="V610" t="s">
        <v>3839</v>
      </c>
      <c r="W610" s="88" t="s">
        <v>4034</v>
      </c>
    </row>
    <row r="611" spans="1:23" ht="14.4">
      <c r="A611" s="7" t="s">
        <v>120</v>
      </c>
      <c r="B611" t="s">
        <v>2563</v>
      </c>
      <c r="C611" t="s">
        <v>2564</v>
      </c>
      <c r="D611" s="7" t="s">
        <v>1298</v>
      </c>
      <c r="E611" s="7" t="s">
        <v>1299</v>
      </c>
      <c r="F611" s="18" t="s">
        <v>1297</v>
      </c>
      <c r="G611" s="7" t="s">
        <v>2584</v>
      </c>
      <c r="H611" s="85" t="s">
        <v>3670</v>
      </c>
      <c r="I611" s="85" t="s">
        <v>2754</v>
      </c>
      <c r="J611" s="85" t="s">
        <v>3671</v>
      </c>
      <c r="K611" s="85" t="s">
        <v>16</v>
      </c>
      <c r="L611" s="85">
        <v>0</v>
      </c>
      <c r="M611" s="20">
        <f>Table9[[#This Row],[Rate
(Please Select from the list)]]/5</f>
        <v>0</v>
      </c>
      <c r="N611" s="77">
        <v>2.61</v>
      </c>
      <c r="O611" s="74">
        <f>Table9[[#This Row],[Score %]]*Table9[[#This Row],[Item Weight
(Please Select from the list)]]</f>
        <v>0</v>
      </c>
      <c r="P611" s="80">
        <v>3</v>
      </c>
      <c r="Q611" t="s">
        <v>59</v>
      </c>
      <c r="R611"/>
      <c r="S611" t="s">
        <v>3828</v>
      </c>
      <c r="T611"/>
      <c r="U611" t="s">
        <v>45</v>
      </c>
      <c r="V611" t="s">
        <v>3829</v>
      </c>
      <c r="W611" s="88" t="s">
        <v>4034</v>
      </c>
    </row>
    <row r="612" spans="1:23" ht="14.4">
      <c r="A612" s="7" t="s">
        <v>120</v>
      </c>
      <c r="B612" t="s">
        <v>2563</v>
      </c>
      <c r="C612" t="s">
        <v>2564</v>
      </c>
      <c r="D612" s="7" t="s">
        <v>1301</v>
      </c>
      <c r="E612" s="7" t="s">
        <v>1302</v>
      </c>
      <c r="F612" s="18" t="s">
        <v>1300</v>
      </c>
      <c r="G612" s="7" t="s">
        <v>2584</v>
      </c>
      <c r="H612" s="85" t="s">
        <v>3672</v>
      </c>
      <c r="I612" s="85" t="s">
        <v>2728</v>
      </c>
      <c r="J612" s="85" t="s">
        <v>3673</v>
      </c>
      <c r="K612" s="85" t="s">
        <v>16</v>
      </c>
      <c r="L612" s="85">
        <v>3</v>
      </c>
      <c r="M612" s="20">
        <f>Table9[[#This Row],[Rate
(Please Select from the list)]]/5</f>
        <v>0.6</v>
      </c>
      <c r="N612" s="77">
        <v>2.61</v>
      </c>
      <c r="O612" s="74">
        <f>Table9[[#This Row],[Score %]]*Table9[[#This Row],[Item Weight
(Please Select from the list)]]</f>
        <v>1.5659999999999998</v>
      </c>
      <c r="P612" s="80">
        <v>3</v>
      </c>
      <c r="Q612" t="s">
        <v>15</v>
      </c>
      <c r="R612"/>
      <c r="S612" t="s">
        <v>43</v>
      </c>
      <c r="T612"/>
      <c r="U612" t="s">
        <v>44</v>
      </c>
      <c r="V612" t="s">
        <v>3815</v>
      </c>
      <c r="W612" s="88" t="s">
        <v>4034</v>
      </c>
    </row>
    <row r="613" spans="1:23" ht="14.4">
      <c r="A613" s="7" t="s">
        <v>120</v>
      </c>
      <c r="B613" t="s">
        <v>2563</v>
      </c>
      <c r="C613" t="s">
        <v>2564</v>
      </c>
      <c r="D613" s="7" t="s">
        <v>1303</v>
      </c>
      <c r="E613" s="7" t="s">
        <v>1304</v>
      </c>
      <c r="F613" s="18" t="s">
        <v>1234</v>
      </c>
      <c r="G613" s="7" t="s">
        <v>2584</v>
      </c>
      <c r="H613" s="85" t="s">
        <v>3674</v>
      </c>
      <c r="I613" s="85" t="s">
        <v>2718</v>
      </c>
      <c r="J613" s="85" t="s">
        <v>3675</v>
      </c>
      <c r="K613" s="85" t="s">
        <v>16</v>
      </c>
      <c r="L613" s="85">
        <v>0</v>
      </c>
      <c r="M613" s="20">
        <f>Table9[[#This Row],[Rate
(Please Select from the list)]]/5</f>
        <v>0</v>
      </c>
      <c r="N613" s="77">
        <v>2.61</v>
      </c>
      <c r="O613" s="74">
        <f>Table9[[#This Row],[Score %]]*Table9[[#This Row],[Item Weight
(Please Select from the list)]]</f>
        <v>0</v>
      </c>
      <c r="P613" s="80">
        <v>3</v>
      </c>
      <c r="Q613" t="s">
        <v>31</v>
      </c>
      <c r="R613"/>
      <c r="S613" t="s">
        <v>3828</v>
      </c>
      <c r="T613"/>
      <c r="U613" t="s">
        <v>45</v>
      </c>
      <c r="V613" t="s">
        <v>3829</v>
      </c>
      <c r="W613" s="88" t="s">
        <v>4034</v>
      </c>
    </row>
    <row r="614" spans="1:23" ht="14.4">
      <c r="A614" s="7" t="s">
        <v>120</v>
      </c>
      <c r="B614" t="s">
        <v>2563</v>
      </c>
      <c r="C614" t="s">
        <v>2564</v>
      </c>
      <c r="D614" s="7" t="s">
        <v>1305</v>
      </c>
      <c r="E614" s="7" t="s">
        <v>1306</v>
      </c>
      <c r="F614" s="18" t="s">
        <v>849</v>
      </c>
      <c r="G614" s="7" t="s">
        <v>2584</v>
      </c>
      <c r="H614" s="85" t="s">
        <v>3676</v>
      </c>
      <c r="I614" s="85" t="s">
        <v>2754</v>
      </c>
      <c r="J614" s="85"/>
      <c r="K614" s="85" t="s">
        <v>16</v>
      </c>
      <c r="L614" s="85">
        <v>4</v>
      </c>
      <c r="M614" s="20">
        <f>Table9[[#This Row],[Rate
(Please Select from the list)]]/5</f>
        <v>0.8</v>
      </c>
      <c r="N614" s="77">
        <v>2.61</v>
      </c>
      <c r="O614" s="74">
        <f>Table9[[#This Row],[Score %]]*Table9[[#This Row],[Item Weight
(Please Select from the list)]]</f>
        <v>2.0880000000000001</v>
      </c>
      <c r="P614" s="80">
        <v>3</v>
      </c>
      <c r="Q614" t="s">
        <v>15</v>
      </c>
      <c r="R614"/>
      <c r="S614" t="s">
        <v>43</v>
      </c>
      <c r="T614"/>
      <c r="U614" t="s">
        <v>58</v>
      </c>
      <c r="V614" t="s">
        <v>3812</v>
      </c>
      <c r="W614" s="88" t="s">
        <v>4034</v>
      </c>
    </row>
    <row r="615" spans="1:23" ht="14.4">
      <c r="A615" s="7" t="s">
        <v>120</v>
      </c>
      <c r="B615" t="s">
        <v>2563</v>
      </c>
      <c r="C615" t="s">
        <v>2564</v>
      </c>
      <c r="D615" s="7" t="s">
        <v>1307</v>
      </c>
      <c r="E615" s="7" t="s">
        <v>1308</v>
      </c>
      <c r="F615" s="18" t="s">
        <v>727</v>
      </c>
      <c r="G615" s="7" t="s">
        <v>2584</v>
      </c>
      <c r="H615" s="85" t="s">
        <v>3677</v>
      </c>
      <c r="I615" s="85" t="s">
        <v>2754</v>
      </c>
      <c r="J615" s="85" t="s">
        <v>3678</v>
      </c>
      <c r="K615" s="85" t="s">
        <v>16</v>
      </c>
      <c r="L615" s="85">
        <v>3</v>
      </c>
      <c r="M615" s="20">
        <f>Table9[[#This Row],[Rate
(Please Select from the list)]]/5</f>
        <v>0.6</v>
      </c>
      <c r="N615" s="77">
        <v>2.61</v>
      </c>
      <c r="O615" s="74">
        <f>Table9[[#This Row],[Score %]]*Table9[[#This Row],[Item Weight
(Please Select from the list)]]</f>
        <v>1.5659999999999998</v>
      </c>
      <c r="P615" s="80">
        <v>3</v>
      </c>
      <c r="Q615" t="s">
        <v>59</v>
      </c>
      <c r="R615"/>
      <c r="S615" t="s">
        <v>43</v>
      </c>
      <c r="T615"/>
      <c r="U615" t="s">
        <v>58</v>
      </c>
      <c r="V615" t="s">
        <v>3825</v>
      </c>
      <c r="W615" s="88" t="s">
        <v>4034</v>
      </c>
    </row>
    <row r="616" spans="1:23" ht="14.4">
      <c r="A616" s="7" t="s">
        <v>120</v>
      </c>
      <c r="B616" t="s">
        <v>2563</v>
      </c>
      <c r="C616" t="s">
        <v>2564</v>
      </c>
      <c r="D616" s="7" t="s">
        <v>1309</v>
      </c>
      <c r="E616" s="7" t="s">
        <v>1310</v>
      </c>
      <c r="F616" s="18" t="s">
        <v>58</v>
      </c>
      <c r="G616" s="7" t="s">
        <v>2584</v>
      </c>
      <c r="H616" s="85" t="s">
        <v>3679</v>
      </c>
      <c r="I616" s="85" t="s">
        <v>2725</v>
      </c>
      <c r="J616" s="85" t="s">
        <v>3680</v>
      </c>
      <c r="K616" s="85" t="s">
        <v>16</v>
      </c>
      <c r="L616" s="85">
        <v>3</v>
      </c>
      <c r="M616" s="20">
        <f>Table9[[#This Row],[Rate
(Please Select from the list)]]/5</f>
        <v>0.6</v>
      </c>
      <c r="N616" s="77">
        <v>2.61</v>
      </c>
      <c r="O616" s="74">
        <f>Table9[[#This Row],[Score %]]*Table9[[#This Row],[Item Weight
(Please Select from the list)]]</f>
        <v>1.5659999999999998</v>
      </c>
      <c r="P616" s="80">
        <v>3</v>
      </c>
      <c r="Q616" t="s">
        <v>59</v>
      </c>
      <c r="R616"/>
      <c r="S616" t="s">
        <v>43</v>
      </c>
      <c r="T616"/>
      <c r="U616" t="s">
        <v>58</v>
      </c>
      <c r="V616" t="s">
        <v>3839</v>
      </c>
      <c r="W616" s="88" t="s">
        <v>4034</v>
      </c>
    </row>
    <row r="617" spans="1:23" ht="14.4">
      <c r="A617" s="7" t="s">
        <v>120</v>
      </c>
      <c r="B617" t="s">
        <v>2563</v>
      </c>
      <c r="C617" t="s">
        <v>2564</v>
      </c>
      <c r="D617" s="7" t="s">
        <v>1312</v>
      </c>
      <c r="E617" s="7" t="s">
        <v>1313</v>
      </c>
      <c r="F617" s="18" t="s">
        <v>1311</v>
      </c>
      <c r="G617" s="7" t="s">
        <v>2584</v>
      </c>
      <c r="H617" s="85" t="s">
        <v>3681</v>
      </c>
      <c r="I617" s="85" t="s">
        <v>2739</v>
      </c>
      <c r="J617" s="85" t="s">
        <v>3682</v>
      </c>
      <c r="K617" s="85" t="s">
        <v>16</v>
      </c>
      <c r="L617" s="85">
        <v>3</v>
      </c>
      <c r="M617" s="20">
        <f>Table9[[#This Row],[Rate
(Please Select from the list)]]/5</f>
        <v>0.6</v>
      </c>
      <c r="N617" s="77">
        <v>2.61</v>
      </c>
      <c r="O617" s="74">
        <f>Table9[[#This Row],[Score %]]*Table9[[#This Row],[Item Weight
(Please Select from the list)]]</f>
        <v>1.5659999999999998</v>
      </c>
      <c r="P617" s="80">
        <v>3</v>
      </c>
      <c r="Q617" t="s">
        <v>46</v>
      </c>
      <c r="R617"/>
      <c r="S617" t="s">
        <v>43</v>
      </c>
      <c r="T617"/>
      <c r="U617" t="s">
        <v>44</v>
      </c>
      <c r="V617" t="s">
        <v>3839</v>
      </c>
      <c r="W617" s="88" t="s">
        <v>4034</v>
      </c>
    </row>
    <row r="618" spans="1:23" ht="14.4">
      <c r="A618" s="7" t="s">
        <v>120</v>
      </c>
      <c r="B618" t="s">
        <v>2563</v>
      </c>
      <c r="C618" t="s">
        <v>2564</v>
      </c>
      <c r="D618" s="7" t="s">
        <v>1315</v>
      </c>
      <c r="E618" s="7" t="s">
        <v>1316</v>
      </c>
      <c r="F618" s="18" t="s">
        <v>1314</v>
      </c>
      <c r="G618" s="7" t="s">
        <v>2584</v>
      </c>
      <c r="H618" s="85" t="s">
        <v>3683</v>
      </c>
      <c r="I618" s="85" t="s">
        <v>2736</v>
      </c>
      <c r="J618" s="85" t="s">
        <v>3684</v>
      </c>
      <c r="K618" s="85" t="s">
        <v>16</v>
      </c>
      <c r="L618" s="85">
        <v>3</v>
      </c>
      <c r="M618" s="20">
        <f>Table9[[#This Row],[Rate
(Please Select from the list)]]/5</f>
        <v>0.6</v>
      </c>
      <c r="N618" s="77">
        <v>2.61</v>
      </c>
      <c r="O618" s="74">
        <f>Table9[[#This Row],[Score %]]*Table9[[#This Row],[Item Weight
(Please Select from the list)]]</f>
        <v>1.5659999999999998</v>
      </c>
      <c r="P618" s="80">
        <v>3</v>
      </c>
      <c r="Q618" t="s">
        <v>46</v>
      </c>
      <c r="R618"/>
      <c r="S618" t="s">
        <v>43</v>
      </c>
      <c r="T618"/>
      <c r="U618" t="s">
        <v>58</v>
      </c>
      <c r="V618" t="s">
        <v>3825</v>
      </c>
      <c r="W618" s="88" t="s">
        <v>4034</v>
      </c>
    </row>
    <row r="619" spans="1:23" ht="14.4">
      <c r="A619" s="7" t="s">
        <v>120</v>
      </c>
      <c r="B619" t="s">
        <v>2563</v>
      </c>
      <c r="C619" t="s">
        <v>2564</v>
      </c>
      <c r="D619" s="7" t="s">
        <v>1317</v>
      </c>
      <c r="E619" s="7" t="s">
        <v>1318</v>
      </c>
      <c r="F619" s="18" t="s">
        <v>1237</v>
      </c>
      <c r="G619" s="7" t="s">
        <v>2584</v>
      </c>
      <c r="H619" s="85" t="s">
        <v>3685</v>
      </c>
      <c r="I619" s="85" t="s">
        <v>2718</v>
      </c>
      <c r="J619" s="85" t="s">
        <v>3686</v>
      </c>
      <c r="K619" s="85" t="s">
        <v>16</v>
      </c>
      <c r="L619" s="85">
        <v>3</v>
      </c>
      <c r="M619" s="20">
        <f>Table9[[#This Row],[Rate
(Please Select from the list)]]/5</f>
        <v>0.6</v>
      </c>
      <c r="N619" s="77">
        <v>2.61</v>
      </c>
      <c r="O619" s="74">
        <f>Table9[[#This Row],[Score %]]*Table9[[#This Row],[Item Weight
(Please Select from the list)]]</f>
        <v>1.5659999999999998</v>
      </c>
      <c r="P619" s="80">
        <v>3</v>
      </c>
      <c r="Q619" t="s">
        <v>31</v>
      </c>
      <c r="R619"/>
      <c r="S619" t="s">
        <v>43</v>
      </c>
      <c r="T619"/>
      <c r="U619" t="s">
        <v>58</v>
      </c>
      <c r="V619" t="s">
        <v>3813</v>
      </c>
      <c r="W619" s="88" t="s">
        <v>4034</v>
      </c>
    </row>
    <row r="620" spans="1:23" ht="14.4">
      <c r="A620" s="7" t="s">
        <v>120</v>
      </c>
      <c r="B620" t="s">
        <v>2563</v>
      </c>
      <c r="C620" t="s">
        <v>2564</v>
      </c>
      <c r="D620" s="7" t="s">
        <v>1319</v>
      </c>
      <c r="E620" s="7" t="s">
        <v>732</v>
      </c>
      <c r="F620" s="18" t="s">
        <v>653</v>
      </c>
      <c r="G620" s="7" t="s">
        <v>2584</v>
      </c>
      <c r="H620" s="85" t="s">
        <v>3687</v>
      </c>
      <c r="I620" s="85" t="s">
        <v>2748</v>
      </c>
      <c r="J620" s="85" t="s">
        <v>3688</v>
      </c>
      <c r="K620" s="85" t="s">
        <v>16</v>
      </c>
      <c r="L620" s="85">
        <v>2</v>
      </c>
      <c r="M620" s="20">
        <f>Table9[[#This Row],[Rate
(Please Select from the list)]]/5</f>
        <v>0.4</v>
      </c>
      <c r="N620" s="77">
        <v>2.61</v>
      </c>
      <c r="O620" s="74">
        <f>Table9[[#This Row],[Score %]]*Table9[[#This Row],[Item Weight
(Please Select from the list)]]</f>
        <v>1.044</v>
      </c>
      <c r="P620" s="80">
        <v>3</v>
      </c>
      <c r="Q620" t="s">
        <v>46</v>
      </c>
      <c r="R620" t="s">
        <v>4011</v>
      </c>
      <c r="S620" t="s">
        <v>29</v>
      </c>
      <c r="T620" s="86">
        <v>45421</v>
      </c>
      <c r="U620" t="s">
        <v>30</v>
      </c>
      <c r="V620" t="s">
        <v>3834</v>
      </c>
      <c r="W620" s="88" t="s">
        <v>4034</v>
      </c>
    </row>
    <row r="621" spans="1:23" ht="14.4">
      <c r="A621" s="7" t="s">
        <v>120</v>
      </c>
      <c r="B621" t="s">
        <v>2563</v>
      </c>
      <c r="C621" t="s">
        <v>2564</v>
      </c>
      <c r="D621" s="7" t="s">
        <v>1320</v>
      </c>
      <c r="E621" s="7" t="s">
        <v>1131</v>
      </c>
      <c r="F621" s="18" t="s">
        <v>733</v>
      </c>
      <c r="G621" s="7" t="s">
        <v>2584</v>
      </c>
      <c r="H621" s="85" t="s">
        <v>3689</v>
      </c>
      <c r="I621" s="85" t="s">
        <v>2736</v>
      </c>
      <c r="J621" s="85" t="s">
        <v>3690</v>
      </c>
      <c r="K621" s="85" t="s">
        <v>16</v>
      </c>
      <c r="L621" s="85">
        <v>3</v>
      </c>
      <c r="M621" s="20">
        <f>Table9[[#This Row],[Rate
(Please Select from the list)]]/5</f>
        <v>0.6</v>
      </c>
      <c r="N621" s="77">
        <v>2.61</v>
      </c>
      <c r="O621" s="74">
        <f>Table9[[#This Row],[Score %]]*Table9[[#This Row],[Item Weight
(Please Select from the list)]]</f>
        <v>1.5659999999999998</v>
      </c>
      <c r="P621" s="80">
        <v>3</v>
      </c>
      <c r="Q621" t="s">
        <v>46</v>
      </c>
      <c r="R621"/>
      <c r="S621" t="s">
        <v>43</v>
      </c>
      <c r="T621"/>
      <c r="U621" t="s">
        <v>44</v>
      </c>
      <c r="V621" t="s">
        <v>3825</v>
      </c>
      <c r="W621" s="88" t="s">
        <v>4034</v>
      </c>
    </row>
    <row r="622" spans="1:23" ht="14.4">
      <c r="A622" s="7" t="s">
        <v>120</v>
      </c>
      <c r="B622" t="s">
        <v>2563</v>
      </c>
      <c r="C622" t="s">
        <v>2564</v>
      </c>
      <c r="D622" s="7" t="s">
        <v>1321</v>
      </c>
      <c r="E622" s="7" t="s">
        <v>1322</v>
      </c>
      <c r="F622" s="18" t="s">
        <v>736</v>
      </c>
      <c r="G622" s="7" t="s">
        <v>2584</v>
      </c>
      <c r="H622" s="85" t="s">
        <v>3691</v>
      </c>
      <c r="I622" s="85" t="s">
        <v>2748</v>
      </c>
      <c r="J622" s="85"/>
      <c r="K622" s="85" t="s">
        <v>855</v>
      </c>
      <c r="L622" s="85">
        <v>4</v>
      </c>
      <c r="M622" s="20">
        <f>Table9[[#This Row],[Rate
(Please Select from the list)]]/5</f>
        <v>0.8</v>
      </c>
      <c r="N622" s="77">
        <v>2.61</v>
      </c>
      <c r="O622" s="74">
        <f>Table9[[#This Row],[Score %]]*Table9[[#This Row],[Item Weight
(Please Select from the list)]]</f>
        <v>2.0880000000000001</v>
      </c>
      <c r="P622" s="80">
        <v>3</v>
      </c>
      <c r="Q622" t="s">
        <v>15</v>
      </c>
      <c r="R622"/>
      <c r="S622" t="s">
        <v>57</v>
      </c>
      <c r="T622"/>
      <c r="U622" t="s">
        <v>58</v>
      </c>
      <c r="V622" t="s">
        <v>3812</v>
      </c>
      <c r="W622" s="88" t="s">
        <v>4034</v>
      </c>
    </row>
    <row r="623" spans="1:23" ht="14.4">
      <c r="A623" s="7" t="s">
        <v>120</v>
      </c>
      <c r="B623" t="s">
        <v>2563</v>
      </c>
      <c r="C623" t="s">
        <v>2564</v>
      </c>
      <c r="D623" s="7" t="s">
        <v>1324</v>
      </c>
      <c r="E623" s="7" t="s">
        <v>1325</v>
      </c>
      <c r="F623" s="18" t="s">
        <v>1323</v>
      </c>
      <c r="G623" s="7" t="s">
        <v>2584</v>
      </c>
      <c r="H623" s="85" t="s">
        <v>3692</v>
      </c>
      <c r="I623" s="85" t="s">
        <v>2731</v>
      </c>
      <c r="J623" s="85" t="s">
        <v>3693</v>
      </c>
      <c r="K623" s="85" t="s">
        <v>16</v>
      </c>
      <c r="L623" s="85">
        <v>2</v>
      </c>
      <c r="M623" s="20">
        <f>Table9[[#This Row],[Rate
(Please Select from the list)]]/5</f>
        <v>0.4</v>
      </c>
      <c r="N623" s="77">
        <v>2.61</v>
      </c>
      <c r="O623" s="74">
        <f>Table9[[#This Row],[Score %]]*Table9[[#This Row],[Item Weight
(Please Select from the list)]]</f>
        <v>1.044</v>
      </c>
      <c r="P623" s="80">
        <v>3</v>
      </c>
      <c r="Q623" t="s">
        <v>15</v>
      </c>
      <c r="R623" t="s">
        <v>4012</v>
      </c>
      <c r="S623" t="s">
        <v>29</v>
      </c>
      <c r="T623" s="86">
        <v>45421</v>
      </c>
      <c r="U623" t="s">
        <v>14</v>
      </c>
      <c r="V623" t="s">
        <v>3834</v>
      </c>
      <c r="W623" s="88" t="s">
        <v>4034</v>
      </c>
    </row>
    <row r="624" spans="1:23" ht="14.4">
      <c r="A624" s="7" t="s">
        <v>120</v>
      </c>
      <c r="B624" t="s">
        <v>2563</v>
      </c>
      <c r="C624" t="s">
        <v>2564</v>
      </c>
      <c r="D624" s="7" t="s">
        <v>1327</v>
      </c>
      <c r="E624" s="7" t="s">
        <v>1328</v>
      </c>
      <c r="F624" s="18" t="s">
        <v>1326</v>
      </c>
      <c r="G624" s="7" t="s">
        <v>2584</v>
      </c>
      <c r="H624" s="85" t="s">
        <v>3694</v>
      </c>
      <c r="I624" s="85" t="s">
        <v>2718</v>
      </c>
      <c r="J624" s="85" t="s">
        <v>3695</v>
      </c>
      <c r="K624" s="85" t="s">
        <v>16</v>
      </c>
      <c r="L624" s="85">
        <v>3</v>
      </c>
      <c r="M624" s="20">
        <f>Table9[[#This Row],[Rate
(Please Select from the list)]]/5</f>
        <v>0.6</v>
      </c>
      <c r="N624" s="77">
        <v>4.3499999999999996</v>
      </c>
      <c r="O624" s="74">
        <f>Table9[[#This Row],[Score %]]*Table9[[#This Row],[Item Weight
(Please Select from the list)]]</f>
        <v>2.61</v>
      </c>
      <c r="P624" s="80">
        <v>5</v>
      </c>
      <c r="Q624" t="s">
        <v>46</v>
      </c>
      <c r="R624"/>
      <c r="S624" t="s">
        <v>43</v>
      </c>
      <c r="T624"/>
      <c r="U624" t="s">
        <v>58</v>
      </c>
      <c r="V624" t="s">
        <v>3825</v>
      </c>
      <c r="W624" s="88" t="s">
        <v>4034</v>
      </c>
    </row>
    <row r="625" spans="1:23" ht="14.4">
      <c r="A625" s="7" t="s">
        <v>123</v>
      </c>
      <c r="B625" t="s">
        <v>2570</v>
      </c>
      <c r="C625" t="s">
        <v>2571</v>
      </c>
      <c r="D625" s="7" t="s">
        <v>1330</v>
      </c>
      <c r="E625" s="7" t="s">
        <v>1616</v>
      </c>
      <c r="F625" s="18" t="s">
        <v>1329</v>
      </c>
      <c r="G625" s="7" t="s">
        <v>2584</v>
      </c>
      <c r="H625" s="85" t="s">
        <v>3696</v>
      </c>
      <c r="I625" s="85" t="s">
        <v>2739</v>
      </c>
      <c r="J625" s="85" t="s">
        <v>3697</v>
      </c>
      <c r="K625" s="85" t="s">
        <v>16</v>
      </c>
      <c r="L625" s="85">
        <v>2</v>
      </c>
      <c r="M625" s="20">
        <f>Table9[[#This Row],[Rate
(Please Select from the list)]]/5</f>
        <v>0.4</v>
      </c>
      <c r="N625" s="77">
        <v>3.54</v>
      </c>
      <c r="O625" s="74">
        <f>Table9[[#This Row],[Score %]]*Table9[[#This Row],[Item Weight
(Please Select from the list)]]</f>
        <v>1.4160000000000001</v>
      </c>
      <c r="P625" s="80">
        <v>4</v>
      </c>
      <c r="Q625" t="s">
        <v>46</v>
      </c>
      <c r="R625" t="s">
        <v>4013</v>
      </c>
      <c r="S625" t="s">
        <v>29</v>
      </c>
      <c r="T625" s="86">
        <v>45421</v>
      </c>
      <c r="U625" t="s">
        <v>14</v>
      </c>
      <c r="V625" t="s">
        <v>3823</v>
      </c>
      <c r="W625" s="88" t="s">
        <v>4034</v>
      </c>
    </row>
    <row r="626" spans="1:23" ht="14.4">
      <c r="A626" s="7" t="s">
        <v>123</v>
      </c>
      <c r="B626" t="s">
        <v>2570</v>
      </c>
      <c r="C626" t="s">
        <v>2571</v>
      </c>
      <c r="D626" s="7" t="s">
        <v>1331</v>
      </c>
      <c r="E626" s="7" t="s">
        <v>1618</v>
      </c>
      <c r="F626" s="18" t="s">
        <v>1617</v>
      </c>
      <c r="G626" s="7" t="s">
        <v>2584</v>
      </c>
      <c r="H626" s="85" t="s">
        <v>3698</v>
      </c>
      <c r="I626" s="85" t="s">
        <v>2739</v>
      </c>
      <c r="J626" s="85"/>
      <c r="K626" s="85" t="s">
        <v>47</v>
      </c>
      <c r="L626" s="85">
        <v>4</v>
      </c>
      <c r="M626" s="20">
        <f>Table9[[#This Row],[Rate
(Please Select from the list)]]/5</f>
        <v>0.8</v>
      </c>
      <c r="N626" s="77">
        <v>3.54</v>
      </c>
      <c r="O626" s="74">
        <f>Table9[[#This Row],[Score %]]*Table9[[#This Row],[Item Weight
(Please Select from the list)]]</f>
        <v>2.8320000000000003</v>
      </c>
      <c r="P626" s="80">
        <v>4</v>
      </c>
      <c r="Q626" t="s">
        <v>31</v>
      </c>
      <c r="R626"/>
      <c r="S626" t="s">
        <v>43</v>
      </c>
      <c r="T626"/>
      <c r="U626" t="s">
        <v>58</v>
      </c>
      <c r="V626" t="s">
        <v>3812</v>
      </c>
      <c r="W626" s="88" t="s">
        <v>4034</v>
      </c>
    </row>
    <row r="627" spans="1:23" ht="14.4">
      <c r="A627" s="7" t="s">
        <v>123</v>
      </c>
      <c r="B627" t="s">
        <v>2570</v>
      </c>
      <c r="C627" t="s">
        <v>2571</v>
      </c>
      <c r="D627" s="7" t="s">
        <v>1620</v>
      </c>
      <c r="E627" s="7" t="s">
        <v>1621</v>
      </c>
      <c r="F627" s="18" t="s">
        <v>1619</v>
      </c>
      <c r="G627" s="7" t="s">
        <v>2584</v>
      </c>
      <c r="H627" s="85" t="s">
        <v>3699</v>
      </c>
      <c r="I627" s="85" t="s">
        <v>2739</v>
      </c>
      <c r="J627" s="85"/>
      <c r="K627" s="85" t="s">
        <v>855</v>
      </c>
      <c r="L627" s="85">
        <v>4</v>
      </c>
      <c r="M627" s="20">
        <f>Table9[[#This Row],[Rate
(Please Select from the list)]]/5</f>
        <v>0.8</v>
      </c>
      <c r="N627" s="77">
        <v>3.54</v>
      </c>
      <c r="O627" s="74">
        <f>Table9[[#This Row],[Score %]]*Table9[[#This Row],[Item Weight
(Please Select from the list)]]</f>
        <v>2.8320000000000003</v>
      </c>
      <c r="P627" s="80">
        <v>4</v>
      </c>
      <c r="Q627" t="s">
        <v>3852</v>
      </c>
      <c r="R627"/>
      <c r="S627" t="s">
        <v>57</v>
      </c>
      <c r="T627"/>
      <c r="U627" t="s">
        <v>44</v>
      </c>
      <c r="V627" t="s">
        <v>3812</v>
      </c>
      <c r="W627" s="88" t="s">
        <v>4034</v>
      </c>
    </row>
    <row r="628" spans="1:23" ht="14.4">
      <c r="A628" s="7" t="s">
        <v>123</v>
      </c>
      <c r="B628" t="s">
        <v>2570</v>
      </c>
      <c r="C628" t="s">
        <v>2571</v>
      </c>
      <c r="D628" s="7" t="s">
        <v>1623</v>
      </c>
      <c r="E628" s="7" t="s">
        <v>1624</v>
      </c>
      <c r="F628" s="18" t="s">
        <v>1622</v>
      </c>
      <c r="G628" s="7" t="s">
        <v>2584</v>
      </c>
      <c r="H628" s="85" t="s">
        <v>3700</v>
      </c>
      <c r="I628" s="85" t="s">
        <v>2725</v>
      </c>
      <c r="J628" s="85"/>
      <c r="K628" s="85" t="s">
        <v>47</v>
      </c>
      <c r="L628" s="85">
        <v>4</v>
      </c>
      <c r="M628" s="20">
        <f>Table9[[#This Row],[Rate
(Please Select from the list)]]/5</f>
        <v>0.8</v>
      </c>
      <c r="N628" s="77">
        <v>2.65</v>
      </c>
      <c r="O628" s="74">
        <f>Table9[[#This Row],[Score %]]*Table9[[#This Row],[Item Weight
(Please Select from the list)]]</f>
        <v>2.12</v>
      </c>
      <c r="P628" s="80">
        <v>3</v>
      </c>
      <c r="Q628" t="s">
        <v>15</v>
      </c>
      <c r="R628"/>
      <c r="S628" t="s">
        <v>57</v>
      </c>
      <c r="T628"/>
      <c r="U628" t="s">
        <v>44</v>
      </c>
      <c r="V628" t="s">
        <v>3812</v>
      </c>
      <c r="W628" s="88" t="s">
        <v>4034</v>
      </c>
    </row>
    <row r="629" spans="1:23" ht="14.4">
      <c r="A629" s="7" t="s">
        <v>123</v>
      </c>
      <c r="B629" t="s">
        <v>2570</v>
      </c>
      <c r="C629" t="s">
        <v>2571</v>
      </c>
      <c r="D629" s="7" t="s">
        <v>1626</v>
      </c>
      <c r="E629" s="7" t="s">
        <v>1627</v>
      </c>
      <c r="F629" s="18" t="s">
        <v>1625</v>
      </c>
      <c r="G629" s="7" t="s">
        <v>2584</v>
      </c>
      <c r="H629" s="85" t="s">
        <v>3701</v>
      </c>
      <c r="I629" s="85" t="s">
        <v>2736</v>
      </c>
      <c r="J629" s="85" t="s">
        <v>3702</v>
      </c>
      <c r="K629" s="85" t="s">
        <v>16</v>
      </c>
      <c r="L629" s="85">
        <v>2</v>
      </c>
      <c r="M629" s="20">
        <f>Table9[[#This Row],[Rate
(Please Select from the list)]]/5</f>
        <v>0.4</v>
      </c>
      <c r="N629" s="77">
        <v>2.65</v>
      </c>
      <c r="O629" s="74">
        <f>Table9[[#This Row],[Score %]]*Table9[[#This Row],[Item Weight
(Please Select from the list)]]</f>
        <v>1.06</v>
      </c>
      <c r="P629" s="80">
        <v>3</v>
      </c>
      <c r="Q629" t="s">
        <v>46</v>
      </c>
      <c r="R629" t="s">
        <v>4014</v>
      </c>
      <c r="S629" t="s">
        <v>29</v>
      </c>
      <c r="T629" s="86">
        <v>45421</v>
      </c>
      <c r="U629" t="s">
        <v>14</v>
      </c>
      <c r="V629" t="s">
        <v>3834</v>
      </c>
      <c r="W629" s="88" t="s">
        <v>4034</v>
      </c>
    </row>
    <row r="630" spans="1:23" ht="14.4">
      <c r="A630" s="7" t="s">
        <v>123</v>
      </c>
      <c r="B630" t="s">
        <v>2570</v>
      </c>
      <c r="C630" t="s">
        <v>2571</v>
      </c>
      <c r="D630" s="7" t="s">
        <v>1629</v>
      </c>
      <c r="E630" s="7" t="s">
        <v>1630</v>
      </c>
      <c r="F630" s="18" t="s">
        <v>1628</v>
      </c>
      <c r="G630" s="7" t="s">
        <v>2584</v>
      </c>
      <c r="H630" s="85" t="s">
        <v>3703</v>
      </c>
      <c r="I630" s="85" t="s">
        <v>2795</v>
      </c>
      <c r="J630" s="85" t="s">
        <v>3704</v>
      </c>
      <c r="K630" s="85" t="s">
        <v>16</v>
      </c>
      <c r="L630" s="85">
        <v>2</v>
      </c>
      <c r="M630" s="20">
        <f>Table9[[#This Row],[Rate
(Please Select from the list)]]/5</f>
        <v>0.4</v>
      </c>
      <c r="N630" s="77">
        <v>2.65</v>
      </c>
      <c r="O630" s="74">
        <f>Table9[[#This Row],[Score %]]*Table9[[#This Row],[Item Weight
(Please Select from the list)]]</f>
        <v>1.06</v>
      </c>
      <c r="P630" s="80">
        <v>3</v>
      </c>
      <c r="Q630" t="s">
        <v>15</v>
      </c>
      <c r="R630" t="s">
        <v>4015</v>
      </c>
      <c r="S630" t="s">
        <v>13</v>
      </c>
      <c r="T630" t="s">
        <v>3820</v>
      </c>
      <c r="U630" t="s">
        <v>30</v>
      </c>
      <c r="V630" t="s">
        <v>3859</v>
      </c>
      <c r="W630" s="88" t="s">
        <v>4034</v>
      </c>
    </row>
    <row r="631" spans="1:23" ht="14.4">
      <c r="A631" s="7" t="s">
        <v>123</v>
      </c>
      <c r="B631" t="s">
        <v>2570</v>
      </c>
      <c r="C631" t="s">
        <v>2571</v>
      </c>
      <c r="D631" s="7" t="s">
        <v>1631</v>
      </c>
      <c r="E631" s="7" t="s">
        <v>1632</v>
      </c>
      <c r="F631" s="18" t="s">
        <v>1332</v>
      </c>
      <c r="G631" s="7" t="s">
        <v>2584</v>
      </c>
      <c r="H631" s="85" t="s">
        <v>3705</v>
      </c>
      <c r="I631" s="85" t="s">
        <v>2728</v>
      </c>
      <c r="J631" s="85"/>
      <c r="K631" s="85" t="s">
        <v>47</v>
      </c>
      <c r="L631" s="85">
        <v>4</v>
      </c>
      <c r="M631" s="20">
        <f>Table9[[#This Row],[Rate
(Please Select from the list)]]/5</f>
        <v>0.8</v>
      </c>
      <c r="N631" s="77">
        <v>2.65</v>
      </c>
      <c r="O631" s="74">
        <f>Table9[[#This Row],[Score %]]*Table9[[#This Row],[Item Weight
(Please Select from the list)]]</f>
        <v>2.12</v>
      </c>
      <c r="P631" s="80">
        <v>3</v>
      </c>
      <c r="Q631" t="s">
        <v>15</v>
      </c>
      <c r="R631"/>
      <c r="S631" t="s">
        <v>57</v>
      </c>
      <c r="T631"/>
      <c r="U631" t="s">
        <v>44</v>
      </c>
      <c r="V631" t="s">
        <v>3812</v>
      </c>
      <c r="W631" s="88" t="s">
        <v>4034</v>
      </c>
    </row>
    <row r="632" spans="1:23" ht="14.4">
      <c r="A632" s="7" t="s">
        <v>123</v>
      </c>
      <c r="B632" t="s">
        <v>2570</v>
      </c>
      <c r="C632" t="s">
        <v>2571</v>
      </c>
      <c r="D632" s="7" t="s">
        <v>1634</v>
      </c>
      <c r="E632" s="7" t="s">
        <v>1635</v>
      </c>
      <c r="F632" s="18" t="s">
        <v>1633</v>
      </c>
      <c r="G632" s="7" t="s">
        <v>2584</v>
      </c>
      <c r="H632" s="85" t="s">
        <v>3706</v>
      </c>
      <c r="I632" s="85" t="s">
        <v>2716</v>
      </c>
      <c r="J632" s="85" t="s">
        <v>3707</v>
      </c>
      <c r="K632" s="85" t="s">
        <v>16</v>
      </c>
      <c r="L632" s="85">
        <v>3</v>
      </c>
      <c r="M632" s="20">
        <f>Table9[[#This Row],[Rate
(Please Select from the list)]]/5</f>
        <v>0.6</v>
      </c>
      <c r="N632" s="77">
        <v>2.65</v>
      </c>
      <c r="O632" s="74">
        <f>Table9[[#This Row],[Score %]]*Table9[[#This Row],[Item Weight
(Please Select from the list)]]</f>
        <v>1.5899999999999999</v>
      </c>
      <c r="P632" s="80">
        <v>3</v>
      </c>
      <c r="Q632" t="s">
        <v>46</v>
      </c>
      <c r="R632"/>
      <c r="S632" t="s">
        <v>43</v>
      </c>
      <c r="T632"/>
      <c r="U632" t="s">
        <v>44</v>
      </c>
      <c r="V632" t="s">
        <v>3813</v>
      </c>
      <c r="W632" s="88" t="s">
        <v>4034</v>
      </c>
    </row>
    <row r="633" spans="1:23" ht="14.4">
      <c r="A633" s="7" t="s">
        <v>123</v>
      </c>
      <c r="B633" t="s">
        <v>2570</v>
      </c>
      <c r="C633" t="s">
        <v>2571</v>
      </c>
      <c r="D633" s="7" t="s">
        <v>1636</v>
      </c>
      <c r="E633" s="7" t="s">
        <v>1637</v>
      </c>
      <c r="F633" s="18" t="s">
        <v>1333</v>
      </c>
      <c r="G633" s="7" t="s">
        <v>2584</v>
      </c>
      <c r="H633" s="85" t="s">
        <v>3708</v>
      </c>
      <c r="I633" s="85" t="s">
        <v>2716</v>
      </c>
      <c r="J633" s="85" t="s">
        <v>3709</v>
      </c>
      <c r="K633" s="85" t="s">
        <v>16</v>
      </c>
      <c r="L633" s="85">
        <v>0</v>
      </c>
      <c r="M633" s="20">
        <f>Table9[[#This Row],[Rate
(Please Select from the list)]]/5</f>
        <v>0</v>
      </c>
      <c r="N633" s="77">
        <v>2.65</v>
      </c>
      <c r="O633" s="74">
        <f>Table9[[#This Row],[Score %]]*Table9[[#This Row],[Item Weight
(Please Select from the list)]]</f>
        <v>0</v>
      </c>
      <c r="P633" s="80">
        <v>3</v>
      </c>
      <c r="Q633" t="s">
        <v>59</v>
      </c>
      <c r="R633"/>
      <c r="S633" t="s">
        <v>3828</v>
      </c>
      <c r="T633"/>
      <c r="U633" t="s">
        <v>45</v>
      </c>
      <c r="V633" t="s">
        <v>3829</v>
      </c>
      <c r="W633" s="88" t="s">
        <v>4034</v>
      </c>
    </row>
    <row r="634" spans="1:23" ht="14.4">
      <c r="A634" s="7" t="s">
        <v>123</v>
      </c>
      <c r="B634" t="s">
        <v>2570</v>
      </c>
      <c r="C634" t="s">
        <v>2571</v>
      </c>
      <c r="D634" s="7" t="s">
        <v>1638</v>
      </c>
      <c r="E634" s="7" t="s">
        <v>1639</v>
      </c>
      <c r="F634" s="18" t="s">
        <v>1334</v>
      </c>
      <c r="G634" s="7" t="s">
        <v>2584</v>
      </c>
      <c r="H634" s="85" t="s">
        <v>3710</v>
      </c>
      <c r="I634" s="85" t="s">
        <v>2718</v>
      </c>
      <c r="J634" s="85" t="s">
        <v>3711</v>
      </c>
      <c r="K634" s="85" t="s">
        <v>16</v>
      </c>
      <c r="L634" s="85">
        <v>3</v>
      </c>
      <c r="M634" s="20">
        <f>Table9[[#This Row],[Rate
(Please Select from the list)]]/5</f>
        <v>0.6</v>
      </c>
      <c r="N634" s="77">
        <v>2.65</v>
      </c>
      <c r="O634" s="74">
        <f>Table9[[#This Row],[Score %]]*Table9[[#This Row],[Item Weight
(Please Select from the list)]]</f>
        <v>1.5899999999999999</v>
      </c>
      <c r="P634" s="80">
        <v>3</v>
      </c>
      <c r="Q634" t="s">
        <v>3852</v>
      </c>
      <c r="R634"/>
      <c r="S634" t="s">
        <v>43</v>
      </c>
      <c r="T634"/>
      <c r="U634" t="s">
        <v>44</v>
      </c>
      <c r="V634" t="s">
        <v>3839</v>
      </c>
      <c r="W634" s="88" t="s">
        <v>4034</v>
      </c>
    </row>
    <row r="635" spans="1:23" ht="14.4">
      <c r="A635" s="7" t="s">
        <v>123</v>
      </c>
      <c r="B635" t="s">
        <v>2570</v>
      </c>
      <c r="C635" t="s">
        <v>2571</v>
      </c>
      <c r="D635" s="7" t="s">
        <v>1641</v>
      </c>
      <c r="E635" s="7" t="s">
        <v>1642</v>
      </c>
      <c r="F635" s="18" t="s">
        <v>1640</v>
      </c>
      <c r="G635" s="7" t="s">
        <v>2584</v>
      </c>
      <c r="H635" s="85" t="s">
        <v>3712</v>
      </c>
      <c r="I635" s="85" t="s">
        <v>2736</v>
      </c>
      <c r="J635" s="85"/>
      <c r="K635" s="85" t="s">
        <v>16</v>
      </c>
      <c r="L635" s="85">
        <v>4</v>
      </c>
      <c r="M635" s="20">
        <f>Table9[[#This Row],[Rate
(Please Select from the list)]]/5</f>
        <v>0.8</v>
      </c>
      <c r="N635" s="77">
        <v>2.65</v>
      </c>
      <c r="O635" s="74">
        <f>Table9[[#This Row],[Score %]]*Table9[[#This Row],[Item Weight
(Please Select from the list)]]</f>
        <v>2.12</v>
      </c>
      <c r="P635" s="80">
        <v>3</v>
      </c>
      <c r="Q635" t="s">
        <v>46</v>
      </c>
      <c r="R635"/>
      <c r="S635" t="s">
        <v>43</v>
      </c>
      <c r="T635"/>
      <c r="U635" t="s">
        <v>44</v>
      </c>
      <c r="V635" t="s">
        <v>3812</v>
      </c>
      <c r="W635" s="88" t="s">
        <v>4034</v>
      </c>
    </row>
    <row r="636" spans="1:23" ht="14.4">
      <c r="A636" s="7" t="s">
        <v>123</v>
      </c>
      <c r="B636" t="s">
        <v>2570</v>
      </c>
      <c r="C636" t="s">
        <v>2571</v>
      </c>
      <c r="D636" s="7" t="s">
        <v>1644</v>
      </c>
      <c r="E636" s="7" t="s">
        <v>1645</v>
      </c>
      <c r="F636" s="18" t="s">
        <v>1643</v>
      </c>
      <c r="G636" s="7" t="s">
        <v>2584</v>
      </c>
      <c r="H636" s="85" t="s">
        <v>3713</v>
      </c>
      <c r="I636" s="85" t="s">
        <v>2731</v>
      </c>
      <c r="J636" s="85" t="s">
        <v>3714</v>
      </c>
      <c r="K636" s="85" t="s">
        <v>16</v>
      </c>
      <c r="L636" s="85">
        <v>3</v>
      </c>
      <c r="M636" s="20">
        <f>Table9[[#This Row],[Rate
(Please Select from the list)]]/5</f>
        <v>0.6</v>
      </c>
      <c r="N636" s="77">
        <v>2.65</v>
      </c>
      <c r="O636" s="74">
        <f>Table9[[#This Row],[Score %]]*Table9[[#This Row],[Item Weight
(Please Select from the list)]]</f>
        <v>1.5899999999999999</v>
      </c>
      <c r="P636" s="80">
        <v>3</v>
      </c>
      <c r="Q636" t="s">
        <v>46</v>
      </c>
      <c r="R636" t="s">
        <v>4016</v>
      </c>
      <c r="S636" t="s">
        <v>29</v>
      </c>
      <c r="T636" s="86">
        <v>45421</v>
      </c>
      <c r="U636" t="s">
        <v>30</v>
      </c>
      <c r="V636" t="s">
        <v>3839</v>
      </c>
      <c r="W636" s="88" t="s">
        <v>4034</v>
      </c>
    </row>
    <row r="637" spans="1:23" ht="14.4">
      <c r="A637" s="7" t="s">
        <v>123</v>
      </c>
      <c r="B637" t="s">
        <v>2570</v>
      </c>
      <c r="C637" t="s">
        <v>2571</v>
      </c>
      <c r="D637" s="7" t="s">
        <v>1647</v>
      </c>
      <c r="E637" s="7" t="s">
        <v>1648</v>
      </c>
      <c r="F637" s="18" t="s">
        <v>1646</v>
      </c>
      <c r="G637" s="7" t="s">
        <v>2584</v>
      </c>
      <c r="H637" s="85" t="s">
        <v>3715</v>
      </c>
      <c r="I637" s="85" t="s">
        <v>2736</v>
      </c>
      <c r="J637" s="85" t="s">
        <v>3716</v>
      </c>
      <c r="K637" s="85" t="s">
        <v>16</v>
      </c>
      <c r="L637" s="85">
        <v>3</v>
      </c>
      <c r="M637" s="20">
        <f>Table9[[#This Row],[Rate
(Please Select from the list)]]/5</f>
        <v>0.6</v>
      </c>
      <c r="N637" s="77">
        <v>4.42</v>
      </c>
      <c r="O637" s="74">
        <f>Table9[[#This Row],[Score %]]*Table9[[#This Row],[Item Weight
(Please Select from the list)]]</f>
        <v>2.6519999999999997</v>
      </c>
      <c r="P637" s="80">
        <v>5</v>
      </c>
      <c r="Q637" t="s">
        <v>59</v>
      </c>
      <c r="R637"/>
      <c r="S637" t="s">
        <v>43</v>
      </c>
      <c r="T637"/>
      <c r="U637" t="s">
        <v>58</v>
      </c>
      <c r="V637" t="s">
        <v>3817</v>
      </c>
      <c r="W637" s="88" t="s">
        <v>4034</v>
      </c>
    </row>
    <row r="638" spans="1:23" ht="14.4">
      <c r="A638" s="7" t="s">
        <v>123</v>
      </c>
      <c r="B638" t="s">
        <v>2570</v>
      </c>
      <c r="C638" t="s">
        <v>2571</v>
      </c>
      <c r="D638" s="7" t="s">
        <v>1650</v>
      </c>
      <c r="E638" s="7" t="s">
        <v>1651</v>
      </c>
      <c r="F638" s="18" t="s">
        <v>1649</v>
      </c>
      <c r="G638" s="7" t="s">
        <v>2584</v>
      </c>
      <c r="H638" s="85" t="s">
        <v>3717</v>
      </c>
      <c r="I638" s="85" t="s">
        <v>2795</v>
      </c>
      <c r="J638" s="85" t="s">
        <v>3718</v>
      </c>
      <c r="K638" s="85" t="s">
        <v>16</v>
      </c>
      <c r="L638" s="85">
        <v>3</v>
      </c>
      <c r="M638" s="20">
        <f>Table9[[#This Row],[Rate
(Please Select from the list)]]/5</f>
        <v>0.6</v>
      </c>
      <c r="N638" s="77">
        <v>2.65</v>
      </c>
      <c r="O638" s="74">
        <f>Table9[[#This Row],[Score %]]*Table9[[#This Row],[Item Weight
(Please Select from the list)]]</f>
        <v>1.5899999999999999</v>
      </c>
      <c r="P638" s="80">
        <v>3</v>
      </c>
      <c r="Q638" t="s">
        <v>15</v>
      </c>
      <c r="R638"/>
      <c r="S638" t="s">
        <v>43</v>
      </c>
      <c r="T638"/>
      <c r="U638" t="s">
        <v>58</v>
      </c>
      <c r="V638" t="s">
        <v>3813</v>
      </c>
      <c r="W638" s="88" t="s">
        <v>4034</v>
      </c>
    </row>
    <row r="639" spans="1:23" ht="14.4">
      <c r="A639" s="7" t="s">
        <v>123</v>
      </c>
      <c r="B639" t="s">
        <v>2570</v>
      </c>
      <c r="C639" t="s">
        <v>2571</v>
      </c>
      <c r="D639" s="7" t="s">
        <v>1653</v>
      </c>
      <c r="E639" s="7" t="s">
        <v>1654</v>
      </c>
      <c r="F639" s="18" t="s">
        <v>1652</v>
      </c>
      <c r="G639" s="7" t="s">
        <v>2584</v>
      </c>
      <c r="H639" s="85" t="s">
        <v>3719</v>
      </c>
      <c r="I639" s="85" t="s">
        <v>2754</v>
      </c>
      <c r="J639" s="85" t="s">
        <v>3720</v>
      </c>
      <c r="K639" s="85" t="s">
        <v>16</v>
      </c>
      <c r="L639" s="85">
        <v>3</v>
      </c>
      <c r="M639" s="20">
        <f>Table9[[#This Row],[Rate
(Please Select from the list)]]/5</f>
        <v>0.6</v>
      </c>
      <c r="N639" s="77">
        <v>2.65</v>
      </c>
      <c r="O639" s="74">
        <f>Table9[[#This Row],[Score %]]*Table9[[#This Row],[Item Weight
(Please Select from the list)]]</f>
        <v>1.5899999999999999</v>
      </c>
      <c r="P639" s="80">
        <v>3</v>
      </c>
      <c r="Q639" t="s">
        <v>46</v>
      </c>
      <c r="R639"/>
      <c r="S639" t="s">
        <v>43</v>
      </c>
      <c r="T639"/>
      <c r="U639" t="s">
        <v>44</v>
      </c>
      <c r="V639" t="s">
        <v>3839</v>
      </c>
      <c r="W639" s="88" t="s">
        <v>4034</v>
      </c>
    </row>
    <row r="640" spans="1:23" ht="14.4">
      <c r="A640" s="7" t="s">
        <v>123</v>
      </c>
      <c r="B640" t="s">
        <v>2570</v>
      </c>
      <c r="C640" t="s">
        <v>2571</v>
      </c>
      <c r="D640" s="7" t="s">
        <v>1656</v>
      </c>
      <c r="E640" s="7" t="s">
        <v>1657</v>
      </c>
      <c r="F640" s="18" t="s">
        <v>1655</v>
      </c>
      <c r="G640" s="7" t="s">
        <v>2584</v>
      </c>
      <c r="H640" s="85" t="s">
        <v>3721</v>
      </c>
      <c r="I640" s="85" t="s">
        <v>2748</v>
      </c>
      <c r="J640" s="85" t="s">
        <v>3722</v>
      </c>
      <c r="K640" s="85" t="s">
        <v>16</v>
      </c>
      <c r="L640" s="85">
        <v>1</v>
      </c>
      <c r="M640" s="20">
        <f>Table9[[#This Row],[Rate
(Please Select from the list)]]/5</f>
        <v>0.2</v>
      </c>
      <c r="N640" s="77">
        <v>2.65</v>
      </c>
      <c r="O640" s="74">
        <f>Table9[[#This Row],[Score %]]*Table9[[#This Row],[Item Weight
(Please Select from the list)]]</f>
        <v>0.53</v>
      </c>
      <c r="P640" s="80">
        <v>3</v>
      </c>
      <c r="Q640" t="s">
        <v>46</v>
      </c>
      <c r="R640" t="s">
        <v>4017</v>
      </c>
      <c r="S640" t="s">
        <v>13</v>
      </c>
      <c r="T640" t="s">
        <v>3820</v>
      </c>
      <c r="U640" t="s">
        <v>30</v>
      </c>
      <c r="V640" t="s">
        <v>3947</v>
      </c>
      <c r="W640" s="88" t="s">
        <v>4034</v>
      </c>
    </row>
    <row r="641" spans="1:23" ht="14.4">
      <c r="A641" s="7" t="s">
        <v>123</v>
      </c>
      <c r="B641" t="s">
        <v>2570</v>
      </c>
      <c r="C641" t="s">
        <v>2571</v>
      </c>
      <c r="D641" s="7" t="s">
        <v>1659</v>
      </c>
      <c r="E641" s="7" t="s">
        <v>1660</v>
      </c>
      <c r="F641" s="18" t="s">
        <v>1658</v>
      </c>
      <c r="G641" s="7" t="s">
        <v>2584</v>
      </c>
      <c r="H641" s="85" t="s">
        <v>3723</v>
      </c>
      <c r="I641" s="85" t="s">
        <v>2795</v>
      </c>
      <c r="J641" s="85" t="s">
        <v>3724</v>
      </c>
      <c r="K641" s="85" t="s">
        <v>16</v>
      </c>
      <c r="L641" s="85">
        <v>3</v>
      </c>
      <c r="M641" s="20">
        <f>Table9[[#This Row],[Rate
(Please Select from the list)]]/5</f>
        <v>0.6</v>
      </c>
      <c r="N641" s="77">
        <v>2.65</v>
      </c>
      <c r="O641" s="74">
        <f>Table9[[#This Row],[Score %]]*Table9[[#This Row],[Item Weight
(Please Select from the list)]]</f>
        <v>1.5899999999999999</v>
      </c>
      <c r="P641" s="80">
        <v>3</v>
      </c>
      <c r="Q641" t="s">
        <v>46</v>
      </c>
      <c r="R641" t="s">
        <v>4018</v>
      </c>
      <c r="S641" t="s">
        <v>43</v>
      </c>
      <c r="T641" t="s">
        <v>3844</v>
      </c>
      <c r="U641" t="s">
        <v>30</v>
      </c>
      <c r="V641" t="s">
        <v>3813</v>
      </c>
      <c r="W641" s="88" t="s">
        <v>4034</v>
      </c>
    </row>
    <row r="642" spans="1:23" ht="14.4">
      <c r="A642" s="7" t="s">
        <v>123</v>
      </c>
      <c r="B642" t="s">
        <v>2570</v>
      </c>
      <c r="C642" t="s">
        <v>2571</v>
      </c>
      <c r="D642" s="7" t="s">
        <v>1662</v>
      </c>
      <c r="E642" s="7" t="s">
        <v>1663</v>
      </c>
      <c r="F642" s="18" t="s">
        <v>1661</v>
      </c>
      <c r="G642" s="7" t="s">
        <v>2584</v>
      </c>
      <c r="H642" s="85" t="s">
        <v>3725</v>
      </c>
      <c r="I642" s="85" t="s">
        <v>2739</v>
      </c>
      <c r="J642" s="85" t="s">
        <v>3726</v>
      </c>
      <c r="K642" s="85" t="s">
        <v>16</v>
      </c>
      <c r="L642" s="85">
        <v>2</v>
      </c>
      <c r="M642" s="20">
        <f>Table9[[#This Row],[Rate
(Please Select from the list)]]/5</f>
        <v>0.4</v>
      </c>
      <c r="N642" s="77">
        <v>2.65</v>
      </c>
      <c r="O642" s="74">
        <f>Table9[[#This Row],[Score %]]*Table9[[#This Row],[Item Weight
(Please Select from the list)]]</f>
        <v>1.06</v>
      </c>
      <c r="P642" s="80">
        <v>3</v>
      </c>
      <c r="Q642" t="s">
        <v>46</v>
      </c>
      <c r="R642" t="s">
        <v>4019</v>
      </c>
      <c r="S642" t="s">
        <v>13</v>
      </c>
      <c r="T642" t="s">
        <v>3820</v>
      </c>
      <c r="U642" t="s">
        <v>30</v>
      </c>
      <c r="V642" t="s">
        <v>3834</v>
      </c>
      <c r="W642" s="88" t="s">
        <v>4034</v>
      </c>
    </row>
    <row r="643" spans="1:23" ht="14.4">
      <c r="A643" s="7" t="s">
        <v>123</v>
      </c>
      <c r="B643" t="s">
        <v>2570</v>
      </c>
      <c r="C643" t="s">
        <v>2571</v>
      </c>
      <c r="D643" s="7" t="s">
        <v>1665</v>
      </c>
      <c r="E643" s="7" t="s">
        <v>1666</v>
      </c>
      <c r="F643" s="18" t="s">
        <v>1664</v>
      </c>
      <c r="G643" s="7" t="s">
        <v>2584</v>
      </c>
      <c r="H643" s="85" t="s">
        <v>3727</v>
      </c>
      <c r="I643" s="85" t="s">
        <v>2795</v>
      </c>
      <c r="J643" s="85" t="s">
        <v>3728</v>
      </c>
      <c r="K643" s="85" t="s">
        <v>16</v>
      </c>
      <c r="L643" s="85">
        <v>3</v>
      </c>
      <c r="M643" s="20">
        <f>Table9[[#This Row],[Rate
(Please Select from the list)]]/5</f>
        <v>0.6</v>
      </c>
      <c r="N643" s="77">
        <v>2.65</v>
      </c>
      <c r="O643" s="74">
        <f>Table9[[#This Row],[Score %]]*Table9[[#This Row],[Item Weight
(Please Select from the list)]]</f>
        <v>1.5899999999999999</v>
      </c>
      <c r="P643" s="80">
        <v>3</v>
      </c>
      <c r="Q643" t="s">
        <v>46</v>
      </c>
      <c r="R643"/>
      <c r="S643" t="s">
        <v>43</v>
      </c>
      <c r="T643"/>
      <c r="U643" t="s">
        <v>44</v>
      </c>
      <c r="V643" t="s">
        <v>3815</v>
      </c>
      <c r="W643" s="88" t="s">
        <v>4034</v>
      </c>
    </row>
    <row r="644" spans="1:23" ht="14.4">
      <c r="A644" s="7" t="s">
        <v>123</v>
      </c>
      <c r="B644" t="s">
        <v>2570</v>
      </c>
      <c r="C644" t="s">
        <v>2571</v>
      </c>
      <c r="D644" s="7" t="s">
        <v>1668</v>
      </c>
      <c r="E644" s="7" t="s">
        <v>1669</v>
      </c>
      <c r="F644" s="18" t="s">
        <v>1667</v>
      </c>
      <c r="G644" s="7" t="s">
        <v>2584</v>
      </c>
      <c r="H644" s="85" t="s">
        <v>3729</v>
      </c>
      <c r="I644" s="85" t="s">
        <v>2716</v>
      </c>
      <c r="J644" s="85"/>
      <c r="K644" s="85" t="s">
        <v>47</v>
      </c>
      <c r="L644" s="85">
        <v>5</v>
      </c>
      <c r="M644" s="20">
        <f>Table9[[#This Row],[Rate
(Please Select from the list)]]/5</f>
        <v>1</v>
      </c>
      <c r="N644" s="77">
        <v>2.65</v>
      </c>
      <c r="O644" s="74">
        <f>Table9[[#This Row],[Score %]]*Table9[[#This Row],[Item Weight
(Please Select from the list)]]</f>
        <v>2.65</v>
      </c>
      <c r="P644" s="80">
        <v>3</v>
      </c>
      <c r="Q644" t="s">
        <v>15</v>
      </c>
      <c r="R644"/>
      <c r="S644" t="s">
        <v>57</v>
      </c>
      <c r="T644"/>
      <c r="U644" t="s">
        <v>58</v>
      </c>
      <c r="V644" t="s">
        <v>3851</v>
      </c>
      <c r="W644" s="88" t="s">
        <v>4034</v>
      </c>
    </row>
    <row r="645" spans="1:23" ht="14.4">
      <c r="A645" s="7" t="s">
        <v>123</v>
      </c>
      <c r="B645" t="s">
        <v>2570</v>
      </c>
      <c r="C645" t="s">
        <v>2571</v>
      </c>
      <c r="D645" s="7" t="s">
        <v>1671</v>
      </c>
      <c r="E645" s="7" t="s">
        <v>1672</v>
      </c>
      <c r="F645" s="18" t="s">
        <v>1670</v>
      </c>
      <c r="G645" s="7" t="s">
        <v>2584</v>
      </c>
      <c r="H645" s="85" t="s">
        <v>3730</v>
      </c>
      <c r="I645" s="85" t="s">
        <v>2795</v>
      </c>
      <c r="J645" s="85"/>
      <c r="K645" s="85" t="s">
        <v>16</v>
      </c>
      <c r="L645" s="85">
        <v>5</v>
      </c>
      <c r="M645" s="20">
        <f>Table9[[#This Row],[Rate
(Please Select from the list)]]/5</f>
        <v>1</v>
      </c>
      <c r="N645" s="77">
        <v>2.65</v>
      </c>
      <c r="O645" s="74">
        <f>Table9[[#This Row],[Score %]]*Table9[[#This Row],[Item Weight
(Please Select from the list)]]</f>
        <v>2.65</v>
      </c>
      <c r="P645" s="80">
        <v>3</v>
      </c>
      <c r="Q645" t="s">
        <v>46</v>
      </c>
      <c r="R645"/>
      <c r="S645" t="s">
        <v>57</v>
      </c>
      <c r="T645"/>
      <c r="U645" t="s">
        <v>58</v>
      </c>
      <c r="V645" t="s">
        <v>3851</v>
      </c>
      <c r="W645" s="88" t="s">
        <v>4034</v>
      </c>
    </row>
    <row r="646" spans="1:23" ht="14.4">
      <c r="A646" s="7" t="s">
        <v>123</v>
      </c>
      <c r="B646" t="s">
        <v>2570</v>
      </c>
      <c r="C646" t="s">
        <v>2571</v>
      </c>
      <c r="D646" s="7" t="s">
        <v>1674</v>
      </c>
      <c r="E646" s="7" t="s">
        <v>1675</v>
      </c>
      <c r="F646" s="18" t="s">
        <v>1673</v>
      </c>
      <c r="G646" s="7" t="s">
        <v>2584</v>
      </c>
      <c r="H646" s="85" t="s">
        <v>3731</v>
      </c>
      <c r="I646" s="85" t="s">
        <v>2795</v>
      </c>
      <c r="J646" s="85" t="s">
        <v>3732</v>
      </c>
      <c r="K646" s="85" t="s">
        <v>16</v>
      </c>
      <c r="L646" s="85">
        <v>3</v>
      </c>
      <c r="M646" s="20">
        <f>Table9[[#This Row],[Rate
(Please Select from the list)]]/5</f>
        <v>0.6</v>
      </c>
      <c r="N646" s="77">
        <v>2.65</v>
      </c>
      <c r="O646" s="74">
        <f>Table9[[#This Row],[Score %]]*Table9[[#This Row],[Item Weight
(Please Select from the list)]]</f>
        <v>1.5899999999999999</v>
      </c>
      <c r="P646" s="80">
        <v>3</v>
      </c>
      <c r="Q646" t="s">
        <v>15</v>
      </c>
      <c r="R646"/>
      <c r="S646" t="s">
        <v>43</v>
      </c>
      <c r="T646"/>
      <c r="U646" t="s">
        <v>58</v>
      </c>
      <c r="V646" t="s">
        <v>3813</v>
      </c>
      <c r="W646" s="88" t="s">
        <v>4034</v>
      </c>
    </row>
    <row r="647" spans="1:23" ht="14.4">
      <c r="A647" s="7" t="s">
        <v>123</v>
      </c>
      <c r="B647" t="s">
        <v>2570</v>
      </c>
      <c r="C647" t="s">
        <v>2571</v>
      </c>
      <c r="D647" s="7" t="s">
        <v>1677</v>
      </c>
      <c r="E647" s="7" t="s">
        <v>1678</v>
      </c>
      <c r="F647" s="18" t="s">
        <v>1676</v>
      </c>
      <c r="G647" s="7" t="s">
        <v>2584</v>
      </c>
      <c r="H647" s="85" t="s">
        <v>3733</v>
      </c>
      <c r="I647" s="85" t="s">
        <v>2748</v>
      </c>
      <c r="J647" s="85"/>
      <c r="K647" s="85" t="s">
        <v>855</v>
      </c>
      <c r="L647" s="85">
        <v>4</v>
      </c>
      <c r="M647" s="20">
        <f>Table9[[#This Row],[Rate
(Please Select from the list)]]/5</f>
        <v>0.8</v>
      </c>
      <c r="N647" s="77">
        <v>2.65</v>
      </c>
      <c r="O647" s="74">
        <f>Table9[[#This Row],[Score %]]*Table9[[#This Row],[Item Weight
(Please Select from the list)]]</f>
        <v>2.12</v>
      </c>
      <c r="P647" s="80">
        <v>3</v>
      </c>
      <c r="Q647" t="s">
        <v>59</v>
      </c>
      <c r="R647"/>
      <c r="S647" t="s">
        <v>57</v>
      </c>
      <c r="T647"/>
      <c r="U647" t="s">
        <v>58</v>
      </c>
      <c r="V647" t="s">
        <v>3812</v>
      </c>
      <c r="W647" s="88" t="s">
        <v>4034</v>
      </c>
    </row>
    <row r="648" spans="1:23" ht="14.4">
      <c r="A648" s="7" t="s">
        <v>123</v>
      </c>
      <c r="B648" t="s">
        <v>2570</v>
      </c>
      <c r="C648" t="s">
        <v>2571</v>
      </c>
      <c r="D648" s="7" t="s">
        <v>1680</v>
      </c>
      <c r="E648" s="7" t="s">
        <v>1681</v>
      </c>
      <c r="F648" s="18" t="s">
        <v>1679</v>
      </c>
      <c r="G648" s="7" t="s">
        <v>2584</v>
      </c>
      <c r="H648" s="85" t="s">
        <v>3734</v>
      </c>
      <c r="I648" s="85" t="s">
        <v>2716</v>
      </c>
      <c r="J648" s="85" t="s">
        <v>3735</v>
      </c>
      <c r="K648" s="85" t="s">
        <v>16</v>
      </c>
      <c r="L648" s="85">
        <v>3</v>
      </c>
      <c r="M648" s="20">
        <f>Table9[[#This Row],[Rate
(Please Select from the list)]]/5</f>
        <v>0.6</v>
      </c>
      <c r="N648" s="77">
        <v>2.65</v>
      </c>
      <c r="O648" s="74">
        <f>Table9[[#This Row],[Score %]]*Table9[[#This Row],[Item Weight
(Please Select from the list)]]</f>
        <v>1.5899999999999999</v>
      </c>
      <c r="P648" s="80">
        <v>3</v>
      </c>
      <c r="Q648" t="s">
        <v>46</v>
      </c>
      <c r="R648" t="s">
        <v>4020</v>
      </c>
      <c r="S648" t="s">
        <v>43</v>
      </c>
      <c r="T648" t="s">
        <v>3844</v>
      </c>
      <c r="U648" t="s">
        <v>30</v>
      </c>
      <c r="V648" t="s">
        <v>3839</v>
      </c>
      <c r="W648" s="88" t="s">
        <v>4034</v>
      </c>
    </row>
    <row r="649" spans="1:23" ht="14.4">
      <c r="A649" s="7" t="s">
        <v>123</v>
      </c>
      <c r="B649" t="s">
        <v>2570</v>
      </c>
      <c r="C649" t="s">
        <v>2571</v>
      </c>
      <c r="D649" s="7" t="s">
        <v>1683</v>
      </c>
      <c r="E649" s="7" t="s">
        <v>1684</v>
      </c>
      <c r="F649" s="18" t="s">
        <v>1682</v>
      </c>
      <c r="G649" s="7" t="s">
        <v>2584</v>
      </c>
      <c r="H649" s="85" t="s">
        <v>3736</v>
      </c>
      <c r="I649" s="85" t="s">
        <v>2736</v>
      </c>
      <c r="J649" s="85" t="s">
        <v>3737</v>
      </c>
      <c r="K649" s="85" t="s">
        <v>16</v>
      </c>
      <c r="L649" s="85">
        <v>2</v>
      </c>
      <c r="M649" s="20">
        <f>Table9[[#This Row],[Rate
(Please Select from the list)]]/5</f>
        <v>0.4</v>
      </c>
      <c r="N649" s="77">
        <v>2.65</v>
      </c>
      <c r="O649" s="74">
        <f>Table9[[#This Row],[Score %]]*Table9[[#This Row],[Item Weight
(Please Select from the list)]]</f>
        <v>1.06</v>
      </c>
      <c r="P649" s="80">
        <v>3</v>
      </c>
      <c r="Q649" t="s">
        <v>46</v>
      </c>
      <c r="R649" t="s">
        <v>4021</v>
      </c>
      <c r="S649" t="s">
        <v>13</v>
      </c>
      <c r="T649" t="s">
        <v>3820</v>
      </c>
      <c r="U649" t="s">
        <v>30</v>
      </c>
      <c r="V649" t="s">
        <v>3834</v>
      </c>
      <c r="W649" s="88" t="s">
        <v>4034</v>
      </c>
    </row>
    <row r="650" spans="1:23" ht="14.4">
      <c r="A650" s="7" t="s">
        <v>123</v>
      </c>
      <c r="B650" t="s">
        <v>2570</v>
      </c>
      <c r="C650" t="s">
        <v>2571</v>
      </c>
      <c r="D650" s="7" t="s">
        <v>1686</v>
      </c>
      <c r="E650" s="7" t="s">
        <v>1687</v>
      </c>
      <c r="F650" s="18" t="s">
        <v>1685</v>
      </c>
      <c r="G650" s="7" t="s">
        <v>2584</v>
      </c>
      <c r="H650" s="85" t="s">
        <v>3738</v>
      </c>
      <c r="I650" s="85" t="s">
        <v>2748</v>
      </c>
      <c r="J650" s="85"/>
      <c r="K650" s="85" t="s">
        <v>16</v>
      </c>
      <c r="L650" s="85">
        <v>4</v>
      </c>
      <c r="M650" s="20">
        <f>Table9[[#This Row],[Rate
(Please Select from the list)]]/5</f>
        <v>0.8</v>
      </c>
      <c r="N650" s="77">
        <v>2.65</v>
      </c>
      <c r="O650" s="74">
        <f>Table9[[#This Row],[Score %]]*Table9[[#This Row],[Item Weight
(Please Select from the list)]]</f>
        <v>2.12</v>
      </c>
      <c r="P650" s="80">
        <v>3</v>
      </c>
      <c r="Q650" t="s">
        <v>15</v>
      </c>
      <c r="R650"/>
      <c r="S650" t="s">
        <v>57</v>
      </c>
      <c r="T650"/>
      <c r="U650" t="s">
        <v>44</v>
      </c>
      <c r="V650" t="s">
        <v>3812</v>
      </c>
      <c r="W650" s="88" t="s">
        <v>4034</v>
      </c>
    </row>
    <row r="651" spans="1:23" ht="14.4">
      <c r="A651" s="7" t="s">
        <v>123</v>
      </c>
      <c r="B651" t="s">
        <v>2570</v>
      </c>
      <c r="C651" t="s">
        <v>2571</v>
      </c>
      <c r="D651" s="7" t="s">
        <v>1689</v>
      </c>
      <c r="E651" s="7" t="s">
        <v>1690</v>
      </c>
      <c r="F651" s="18" t="s">
        <v>1688</v>
      </c>
      <c r="G651" s="7" t="s">
        <v>2584</v>
      </c>
      <c r="H651" s="85" t="s">
        <v>3739</v>
      </c>
      <c r="I651" s="85" t="s">
        <v>2736</v>
      </c>
      <c r="J651" s="85" t="s">
        <v>3740</v>
      </c>
      <c r="K651" s="85" t="s">
        <v>16</v>
      </c>
      <c r="L651" s="85">
        <v>2</v>
      </c>
      <c r="M651" s="20">
        <f>Table9[[#This Row],[Rate
(Please Select from the list)]]/5</f>
        <v>0.4</v>
      </c>
      <c r="N651" s="77">
        <v>2.65</v>
      </c>
      <c r="O651" s="74">
        <f>Table9[[#This Row],[Score %]]*Table9[[#This Row],[Item Weight
(Please Select from the list)]]</f>
        <v>1.06</v>
      </c>
      <c r="P651" s="80">
        <v>3</v>
      </c>
      <c r="Q651" t="s">
        <v>31</v>
      </c>
      <c r="R651" t="s">
        <v>4022</v>
      </c>
      <c r="S651" t="s">
        <v>29</v>
      </c>
      <c r="T651" s="86">
        <v>45421</v>
      </c>
      <c r="U651" t="s">
        <v>30</v>
      </c>
      <c r="V651" t="s">
        <v>3847</v>
      </c>
      <c r="W651" s="88" t="s">
        <v>4034</v>
      </c>
    </row>
    <row r="652" spans="1:23" ht="14.4">
      <c r="A652" s="7" t="s">
        <v>123</v>
      </c>
      <c r="B652" t="s">
        <v>2570</v>
      </c>
      <c r="C652" t="s">
        <v>2571</v>
      </c>
      <c r="D652" s="7" t="s">
        <v>1692</v>
      </c>
      <c r="E652" s="7" t="s">
        <v>1693</v>
      </c>
      <c r="F652" s="18" t="s">
        <v>1691</v>
      </c>
      <c r="G652" s="7" t="s">
        <v>2584</v>
      </c>
      <c r="H652" s="85" t="s">
        <v>3741</v>
      </c>
      <c r="I652" s="85" t="s">
        <v>2731</v>
      </c>
      <c r="J652" s="85"/>
      <c r="K652" s="85" t="s">
        <v>16</v>
      </c>
      <c r="L652" s="85">
        <v>4</v>
      </c>
      <c r="M652" s="20">
        <f>Table9[[#This Row],[Rate
(Please Select from the list)]]/5</f>
        <v>0.8</v>
      </c>
      <c r="N652" s="77">
        <v>4.42</v>
      </c>
      <c r="O652" s="74">
        <f>Table9[[#This Row],[Score %]]*Table9[[#This Row],[Item Weight
(Please Select from the list)]]</f>
        <v>3.536</v>
      </c>
      <c r="P652" s="80">
        <v>5</v>
      </c>
      <c r="Q652" t="s">
        <v>15</v>
      </c>
      <c r="R652"/>
      <c r="S652" t="s">
        <v>57</v>
      </c>
      <c r="T652"/>
      <c r="U652" t="s">
        <v>58</v>
      </c>
      <c r="V652" t="s">
        <v>3812</v>
      </c>
      <c r="W652" s="88" t="s">
        <v>4034</v>
      </c>
    </row>
    <row r="653" spans="1:23" ht="14.4">
      <c r="A653" s="7" t="s">
        <v>123</v>
      </c>
      <c r="B653" t="s">
        <v>2570</v>
      </c>
      <c r="C653" t="s">
        <v>2571</v>
      </c>
      <c r="D653" s="7" t="s">
        <v>1694</v>
      </c>
      <c r="E653" s="7" t="s">
        <v>1695</v>
      </c>
      <c r="F653" s="18" t="s">
        <v>923</v>
      </c>
      <c r="G653" s="7" t="s">
        <v>2584</v>
      </c>
      <c r="H653" s="85" t="s">
        <v>3742</v>
      </c>
      <c r="I653" s="85" t="s">
        <v>2754</v>
      </c>
      <c r="J653" s="85" t="s">
        <v>3743</v>
      </c>
      <c r="K653" s="85" t="s">
        <v>16</v>
      </c>
      <c r="L653" s="85">
        <v>1</v>
      </c>
      <c r="M653" s="20">
        <f>Table9[[#This Row],[Rate
(Please Select from the list)]]/5</f>
        <v>0.2</v>
      </c>
      <c r="N653" s="77">
        <v>2.65</v>
      </c>
      <c r="O653" s="74">
        <f>Table9[[#This Row],[Score %]]*Table9[[#This Row],[Item Weight
(Please Select from the list)]]</f>
        <v>0.53</v>
      </c>
      <c r="P653" s="80">
        <v>3</v>
      </c>
      <c r="Q653" t="s">
        <v>46</v>
      </c>
      <c r="R653" t="s">
        <v>4023</v>
      </c>
      <c r="S653" t="s">
        <v>13</v>
      </c>
      <c r="T653" t="s">
        <v>3820</v>
      </c>
      <c r="U653" t="s">
        <v>14</v>
      </c>
      <c r="V653" t="s">
        <v>4024</v>
      </c>
      <c r="W653" s="88" t="s">
        <v>4034</v>
      </c>
    </row>
    <row r="654" spans="1:23" ht="14.4">
      <c r="A654" s="7" t="s">
        <v>123</v>
      </c>
      <c r="B654" t="s">
        <v>2570</v>
      </c>
      <c r="C654" t="s">
        <v>2571</v>
      </c>
      <c r="D654" s="7" t="s">
        <v>1697</v>
      </c>
      <c r="E654" s="7" t="s">
        <v>1698</v>
      </c>
      <c r="F654" s="18" t="s">
        <v>1696</v>
      </c>
      <c r="G654" s="7" t="s">
        <v>2584</v>
      </c>
      <c r="H654" s="85" t="s">
        <v>3744</v>
      </c>
      <c r="I654" s="85" t="s">
        <v>2795</v>
      </c>
      <c r="J654" s="85"/>
      <c r="K654" s="85" t="s">
        <v>47</v>
      </c>
      <c r="L654" s="85">
        <v>5</v>
      </c>
      <c r="M654" s="20">
        <f>Table9[[#This Row],[Rate
(Please Select from the list)]]/5</f>
        <v>1</v>
      </c>
      <c r="N654" s="77">
        <v>2.65</v>
      </c>
      <c r="O654" s="74">
        <f>Table9[[#This Row],[Score %]]*Table9[[#This Row],[Item Weight
(Please Select from the list)]]</f>
        <v>2.65</v>
      </c>
      <c r="P654" s="80">
        <v>3</v>
      </c>
      <c r="Q654" t="s">
        <v>46</v>
      </c>
      <c r="R654"/>
      <c r="S654" t="s">
        <v>57</v>
      </c>
      <c r="T654"/>
      <c r="U654" t="s">
        <v>58</v>
      </c>
      <c r="V654" t="s">
        <v>3851</v>
      </c>
      <c r="W654" s="88" t="s">
        <v>4034</v>
      </c>
    </row>
    <row r="655" spans="1:23" ht="14.4">
      <c r="A655" s="7" t="s">
        <v>123</v>
      </c>
      <c r="B655" t="s">
        <v>2570</v>
      </c>
      <c r="C655" t="s">
        <v>2571</v>
      </c>
      <c r="D655" s="7" t="s">
        <v>1699</v>
      </c>
      <c r="E655" s="7" t="s">
        <v>1700</v>
      </c>
      <c r="F655" s="18" t="s">
        <v>1335</v>
      </c>
      <c r="G655" s="7" t="s">
        <v>2584</v>
      </c>
      <c r="H655" s="85" t="s">
        <v>3745</v>
      </c>
      <c r="I655" s="85" t="s">
        <v>2731</v>
      </c>
      <c r="J655" s="85" t="s">
        <v>3746</v>
      </c>
      <c r="K655" s="85" t="s">
        <v>16</v>
      </c>
      <c r="L655" s="85">
        <v>3</v>
      </c>
      <c r="M655" s="20">
        <f>Table9[[#This Row],[Rate
(Please Select from the list)]]/5</f>
        <v>0.6</v>
      </c>
      <c r="N655" s="77">
        <v>2.65</v>
      </c>
      <c r="O655" s="74">
        <f>Table9[[#This Row],[Score %]]*Table9[[#This Row],[Item Weight
(Please Select from the list)]]</f>
        <v>1.5899999999999999</v>
      </c>
      <c r="P655" s="80">
        <v>3</v>
      </c>
      <c r="Q655" t="s">
        <v>31</v>
      </c>
      <c r="R655"/>
      <c r="S655" t="s">
        <v>43</v>
      </c>
      <c r="T655"/>
      <c r="U655" t="s">
        <v>58</v>
      </c>
      <c r="V655" t="s">
        <v>3817</v>
      </c>
      <c r="W655" s="88" t="s">
        <v>4034</v>
      </c>
    </row>
    <row r="656" spans="1:23" ht="14.4">
      <c r="A656" s="7" t="s">
        <v>123</v>
      </c>
      <c r="B656" t="s">
        <v>2570</v>
      </c>
      <c r="C656" t="s">
        <v>2571</v>
      </c>
      <c r="D656" s="7" t="s">
        <v>1702</v>
      </c>
      <c r="E656" s="7" t="s">
        <v>1703</v>
      </c>
      <c r="F656" s="18" t="s">
        <v>1701</v>
      </c>
      <c r="G656" s="7" t="s">
        <v>2584</v>
      </c>
      <c r="H656" s="85" t="s">
        <v>3747</v>
      </c>
      <c r="I656" s="85" t="s">
        <v>2725</v>
      </c>
      <c r="J656" s="85" t="s">
        <v>3748</v>
      </c>
      <c r="K656" s="85" t="s">
        <v>16</v>
      </c>
      <c r="L656" s="85">
        <v>2</v>
      </c>
      <c r="M656" s="20">
        <f>Table9[[#This Row],[Rate
(Please Select from the list)]]/5</f>
        <v>0.4</v>
      </c>
      <c r="N656" s="77">
        <v>2.65</v>
      </c>
      <c r="O656" s="74">
        <f>Table9[[#This Row],[Score %]]*Table9[[#This Row],[Item Weight
(Please Select from the list)]]</f>
        <v>1.06</v>
      </c>
      <c r="P656" s="80">
        <v>3</v>
      </c>
      <c r="Q656" t="s">
        <v>59</v>
      </c>
      <c r="R656" t="s">
        <v>4025</v>
      </c>
      <c r="S656" t="s">
        <v>29</v>
      </c>
      <c r="T656" s="86">
        <v>45421</v>
      </c>
      <c r="U656" t="s">
        <v>14</v>
      </c>
      <c r="V656" t="s">
        <v>3847</v>
      </c>
      <c r="W656" s="88" t="s">
        <v>4034</v>
      </c>
    </row>
    <row r="657" spans="1:23" ht="14.4">
      <c r="A657" s="7" t="s">
        <v>123</v>
      </c>
      <c r="B657" t="s">
        <v>2570</v>
      </c>
      <c r="C657" t="s">
        <v>2571</v>
      </c>
      <c r="D657" s="7" t="s">
        <v>1705</v>
      </c>
      <c r="E657" s="7" t="s">
        <v>1706</v>
      </c>
      <c r="F657" s="18" t="s">
        <v>1704</v>
      </c>
      <c r="G657" s="7" t="s">
        <v>2584</v>
      </c>
      <c r="H657" s="85" t="s">
        <v>3749</v>
      </c>
      <c r="I657" s="85" t="s">
        <v>2739</v>
      </c>
      <c r="J657" s="85" t="s">
        <v>3750</v>
      </c>
      <c r="K657" s="85" t="s">
        <v>16</v>
      </c>
      <c r="L657" s="85">
        <v>3</v>
      </c>
      <c r="M657" s="20">
        <f>Table9[[#This Row],[Rate
(Please Select from the list)]]/5</f>
        <v>0.6</v>
      </c>
      <c r="N657" s="77">
        <v>2.65</v>
      </c>
      <c r="O657" s="74">
        <f>Table9[[#This Row],[Score %]]*Table9[[#This Row],[Item Weight
(Please Select from the list)]]</f>
        <v>1.5899999999999999</v>
      </c>
      <c r="P657" s="80">
        <v>3</v>
      </c>
      <c r="Q657" t="s">
        <v>59</v>
      </c>
      <c r="R657" t="s">
        <v>4026</v>
      </c>
      <c r="S657" t="s">
        <v>29</v>
      </c>
      <c r="T657" s="86">
        <v>45421</v>
      </c>
      <c r="U657" t="s">
        <v>14</v>
      </c>
      <c r="V657" t="s">
        <v>3815</v>
      </c>
      <c r="W657" s="88" t="s">
        <v>4034</v>
      </c>
    </row>
    <row r="658" spans="1:23" ht="14.4">
      <c r="A658" s="7" t="s">
        <v>123</v>
      </c>
      <c r="B658" t="s">
        <v>2570</v>
      </c>
      <c r="C658" t="s">
        <v>2571</v>
      </c>
      <c r="D658" s="7" t="s">
        <v>1708</v>
      </c>
      <c r="E658" s="7" t="s">
        <v>1709</v>
      </c>
      <c r="F658" s="18" t="s">
        <v>1707</v>
      </c>
      <c r="G658" s="7" t="s">
        <v>2584</v>
      </c>
      <c r="H658" s="85" t="s">
        <v>3751</v>
      </c>
      <c r="I658" s="85" t="s">
        <v>2728</v>
      </c>
      <c r="J658" s="85"/>
      <c r="K658" s="85" t="s">
        <v>16</v>
      </c>
      <c r="L658" s="85">
        <v>4</v>
      </c>
      <c r="M658" s="20">
        <f>Table9[[#This Row],[Rate
(Please Select from the list)]]/5</f>
        <v>0.8</v>
      </c>
      <c r="N658" s="77">
        <v>3.54</v>
      </c>
      <c r="O658" s="74">
        <f>Table9[[#This Row],[Score %]]*Table9[[#This Row],[Item Weight
(Please Select from the list)]]</f>
        <v>2.8320000000000003</v>
      </c>
      <c r="P658" s="80">
        <v>4</v>
      </c>
      <c r="Q658" t="s">
        <v>46</v>
      </c>
      <c r="R658"/>
      <c r="S658" t="s">
        <v>57</v>
      </c>
      <c r="T658"/>
      <c r="U658" t="s">
        <v>58</v>
      </c>
      <c r="V658" t="s">
        <v>3812</v>
      </c>
      <c r="W658" s="88" t="s">
        <v>4034</v>
      </c>
    </row>
    <row r="659" spans="1:23" ht="14.4">
      <c r="A659" s="7" t="s">
        <v>123</v>
      </c>
      <c r="B659" t="s">
        <v>2570</v>
      </c>
      <c r="C659" t="s">
        <v>2571</v>
      </c>
      <c r="D659" s="7" t="s">
        <v>1710</v>
      </c>
      <c r="E659" s="7" t="s">
        <v>1711</v>
      </c>
      <c r="F659" s="18" t="s">
        <v>1152</v>
      </c>
      <c r="G659" s="7" t="s">
        <v>2584</v>
      </c>
      <c r="H659" s="85" t="s">
        <v>3752</v>
      </c>
      <c r="I659" s="85" t="s">
        <v>2736</v>
      </c>
      <c r="J659" s="85" t="s">
        <v>3753</v>
      </c>
      <c r="K659" s="85" t="s">
        <v>16</v>
      </c>
      <c r="L659" s="85">
        <v>3</v>
      </c>
      <c r="M659" s="20">
        <f>Table9[[#This Row],[Rate
(Please Select from the list)]]/5</f>
        <v>0.6</v>
      </c>
      <c r="N659" s="77">
        <v>2.65</v>
      </c>
      <c r="O659" s="74">
        <f>Table9[[#This Row],[Score %]]*Table9[[#This Row],[Item Weight
(Please Select from the list)]]</f>
        <v>1.5899999999999999</v>
      </c>
      <c r="P659" s="80">
        <v>3</v>
      </c>
      <c r="Q659" t="s">
        <v>59</v>
      </c>
      <c r="R659" t="s">
        <v>4027</v>
      </c>
      <c r="S659" t="s">
        <v>29</v>
      </c>
      <c r="T659" s="86">
        <v>45421</v>
      </c>
      <c r="U659" t="s">
        <v>30</v>
      </c>
      <c r="V659" t="s">
        <v>3825</v>
      </c>
      <c r="W659" s="88" t="s">
        <v>4034</v>
      </c>
    </row>
    <row r="660" spans="1:23" ht="14.4">
      <c r="A660" s="7" t="s">
        <v>1533</v>
      </c>
      <c r="B660" t="s">
        <v>1512</v>
      </c>
      <c r="C660" t="s">
        <v>2714</v>
      </c>
      <c r="D660" s="7" t="s">
        <v>2312</v>
      </c>
      <c r="E660" s="7" t="s">
        <v>2313</v>
      </c>
      <c r="F660" s="18" t="s">
        <v>1712</v>
      </c>
      <c r="G660" s="7" t="s">
        <v>2584</v>
      </c>
      <c r="H660" s="85" t="s">
        <v>3754</v>
      </c>
      <c r="I660" s="85" t="s">
        <v>2728</v>
      </c>
      <c r="J660" s="85" t="s">
        <v>3755</v>
      </c>
      <c r="K660" s="85" t="s">
        <v>16</v>
      </c>
      <c r="L660" s="85">
        <v>3</v>
      </c>
      <c r="M660" s="20">
        <f>Table9[[#This Row],[Rate
(Please Select from the list)]]/5</f>
        <v>0.6</v>
      </c>
      <c r="N660" s="77">
        <v>3.4</v>
      </c>
      <c r="O660" s="74">
        <f>Table9[[#This Row],[Score %]]*Table9[[#This Row],[Item Weight
(Please Select from the list)]]</f>
        <v>2.04</v>
      </c>
      <c r="P660" s="80">
        <v>5</v>
      </c>
      <c r="Q660" t="s">
        <v>31</v>
      </c>
      <c r="R660"/>
      <c r="S660" t="s">
        <v>43</v>
      </c>
      <c r="T660"/>
      <c r="U660" t="s">
        <v>58</v>
      </c>
      <c r="V660" t="s">
        <v>3815</v>
      </c>
      <c r="W660" s="88" t="s">
        <v>4034</v>
      </c>
    </row>
    <row r="661" spans="1:23" ht="14.4">
      <c r="A661" s="7" t="s">
        <v>1533</v>
      </c>
      <c r="B661" t="s">
        <v>1512</v>
      </c>
      <c r="C661" t="s">
        <v>2714</v>
      </c>
      <c r="D661" s="7" t="s">
        <v>2315</v>
      </c>
      <c r="E661" s="7" t="s">
        <v>2316</v>
      </c>
      <c r="F661" s="18" t="s">
        <v>2314</v>
      </c>
      <c r="G661" s="7" t="s">
        <v>2584</v>
      </c>
      <c r="H661" s="85" t="s">
        <v>3756</v>
      </c>
      <c r="I661" s="85" t="s">
        <v>2728</v>
      </c>
      <c r="J661" s="85" t="s">
        <v>3757</v>
      </c>
      <c r="K661" s="85" t="s">
        <v>16</v>
      </c>
      <c r="L661" s="85">
        <v>3</v>
      </c>
      <c r="M661" s="20">
        <f>Table9[[#This Row],[Rate
(Please Select from the list)]]/5</f>
        <v>0.6</v>
      </c>
      <c r="N661" s="77">
        <v>3.4</v>
      </c>
      <c r="O661" s="74">
        <f>Table9[[#This Row],[Score %]]*Table9[[#This Row],[Item Weight
(Please Select from the list)]]</f>
        <v>2.04</v>
      </c>
      <c r="P661" s="80">
        <v>5</v>
      </c>
      <c r="Q661" t="s">
        <v>15</v>
      </c>
      <c r="R661"/>
      <c r="S661" t="s">
        <v>43</v>
      </c>
      <c r="T661"/>
      <c r="U661" t="s">
        <v>58</v>
      </c>
      <c r="V661" t="s">
        <v>3839</v>
      </c>
      <c r="W661" s="88" t="s">
        <v>4034</v>
      </c>
    </row>
    <row r="662" spans="1:23" ht="14.4">
      <c r="A662" s="7" t="s">
        <v>1533</v>
      </c>
      <c r="B662" t="s">
        <v>1512</v>
      </c>
      <c r="C662" t="s">
        <v>2714</v>
      </c>
      <c r="D662" s="7" t="s">
        <v>2318</v>
      </c>
      <c r="E662" s="7" t="s">
        <v>2319</v>
      </c>
      <c r="F662" s="18" t="s">
        <v>2317</v>
      </c>
      <c r="G662" s="7" t="s">
        <v>2584</v>
      </c>
      <c r="H662" s="85" t="s">
        <v>3758</v>
      </c>
      <c r="I662" s="85" t="s">
        <v>2731</v>
      </c>
      <c r="J662" s="85"/>
      <c r="K662" s="85" t="s">
        <v>47</v>
      </c>
      <c r="L662" s="85">
        <v>4</v>
      </c>
      <c r="M662" s="20">
        <f>Table9[[#This Row],[Rate
(Please Select from the list)]]/5</f>
        <v>0.8</v>
      </c>
      <c r="N662" s="77">
        <v>3.4</v>
      </c>
      <c r="O662" s="74">
        <f>Table9[[#This Row],[Score %]]*Table9[[#This Row],[Item Weight
(Please Select from the list)]]</f>
        <v>2.72</v>
      </c>
      <c r="P662" s="80">
        <v>5</v>
      </c>
      <c r="Q662" t="s">
        <v>59</v>
      </c>
      <c r="R662"/>
      <c r="S662" t="s">
        <v>57</v>
      </c>
      <c r="T662"/>
      <c r="U662" t="s">
        <v>58</v>
      </c>
      <c r="V662" t="s">
        <v>3812</v>
      </c>
      <c r="W662" s="88" t="s">
        <v>4034</v>
      </c>
    </row>
    <row r="663" spans="1:23" ht="14.4">
      <c r="A663" s="7" t="s">
        <v>1533</v>
      </c>
      <c r="B663" t="s">
        <v>1512</v>
      </c>
      <c r="C663" t="s">
        <v>2714</v>
      </c>
      <c r="D663" s="7" t="s">
        <v>2321</v>
      </c>
      <c r="E663" s="7" t="s">
        <v>2322</v>
      </c>
      <c r="F663" s="18" t="s">
        <v>2320</v>
      </c>
      <c r="G663" s="7" t="s">
        <v>2584</v>
      </c>
      <c r="H663" s="85" t="s">
        <v>3759</v>
      </c>
      <c r="I663" s="85" t="s">
        <v>2754</v>
      </c>
      <c r="J663" s="85" t="s">
        <v>3760</v>
      </c>
      <c r="K663" s="85" t="s">
        <v>16</v>
      </c>
      <c r="L663" s="85">
        <v>3</v>
      </c>
      <c r="M663" s="20">
        <f>Table9[[#This Row],[Rate
(Please Select from the list)]]/5</f>
        <v>0.6</v>
      </c>
      <c r="N663" s="77">
        <v>2.72</v>
      </c>
      <c r="O663" s="74">
        <f>Table9[[#This Row],[Score %]]*Table9[[#This Row],[Item Weight
(Please Select from the list)]]</f>
        <v>1.6320000000000001</v>
      </c>
      <c r="P663" s="80">
        <v>4</v>
      </c>
      <c r="Q663" t="s">
        <v>31</v>
      </c>
      <c r="R663"/>
      <c r="S663" t="s">
        <v>43</v>
      </c>
      <c r="T663"/>
      <c r="U663" t="s">
        <v>58</v>
      </c>
      <c r="V663" t="s">
        <v>3815</v>
      </c>
      <c r="W663" s="88" t="s">
        <v>4034</v>
      </c>
    </row>
    <row r="664" spans="1:23" ht="14.4">
      <c r="A664" s="7" t="s">
        <v>1533</v>
      </c>
      <c r="B664" t="s">
        <v>1512</v>
      </c>
      <c r="C664" t="s">
        <v>2714</v>
      </c>
      <c r="D664" s="7" t="s">
        <v>2324</v>
      </c>
      <c r="E664" s="7" t="s">
        <v>2325</v>
      </c>
      <c r="F664" s="18" t="s">
        <v>2323</v>
      </c>
      <c r="G664" s="7" t="s">
        <v>2584</v>
      </c>
      <c r="H664" s="85" t="s">
        <v>3761</v>
      </c>
      <c r="I664" s="85" t="s">
        <v>2728</v>
      </c>
      <c r="J664" s="85" t="s">
        <v>3762</v>
      </c>
      <c r="K664" s="85" t="s">
        <v>16</v>
      </c>
      <c r="L664" s="85">
        <v>3</v>
      </c>
      <c r="M664" s="20">
        <f>Table9[[#This Row],[Rate
(Please Select from the list)]]/5</f>
        <v>0.6</v>
      </c>
      <c r="N664" s="77">
        <v>2.72</v>
      </c>
      <c r="O664" s="74">
        <f>Table9[[#This Row],[Score %]]*Table9[[#This Row],[Item Weight
(Please Select from the list)]]</f>
        <v>1.6320000000000001</v>
      </c>
      <c r="P664" s="80">
        <v>4</v>
      </c>
      <c r="Q664" t="s">
        <v>15</v>
      </c>
      <c r="R664"/>
      <c r="S664" t="s">
        <v>43</v>
      </c>
      <c r="T664"/>
      <c r="U664" t="s">
        <v>58</v>
      </c>
      <c r="V664" t="s">
        <v>3813</v>
      </c>
      <c r="W664" s="88" t="s">
        <v>4034</v>
      </c>
    </row>
    <row r="665" spans="1:23" ht="14.4">
      <c r="A665" s="7" t="s">
        <v>1533</v>
      </c>
      <c r="B665" t="s">
        <v>1512</v>
      </c>
      <c r="C665" t="s">
        <v>2714</v>
      </c>
      <c r="D665" s="7" t="s">
        <v>2326</v>
      </c>
      <c r="E665" s="7" t="s">
        <v>2327</v>
      </c>
      <c r="F665" s="18" t="s">
        <v>1778</v>
      </c>
      <c r="G665" s="7" t="s">
        <v>2584</v>
      </c>
      <c r="H665" s="85" t="s">
        <v>3763</v>
      </c>
      <c r="I665" s="85" t="s">
        <v>2728</v>
      </c>
      <c r="J665" s="85" t="s">
        <v>3764</v>
      </c>
      <c r="K665" s="85" t="s">
        <v>16</v>
      </c>
      <c r="L665" s="85">
        <v>0</v>
      </c>
      <c r="M665" s="20">
        <f>Table9[[#This Row],[Rate
(Please Select from the list)]]/5</f>
        <v>0</v>
      </c>
      <c r="N665" s="77">
        <v>2.72</v>
      </c>
      <c r="O665" s="74">
        <f>Table9[[#This Row],[Score %]]*Table9[[#This Row],[Item Weight
(Please Select from the list)]]</f>
        <v>0</v>
      </c>
      <c r="P665" s="80">
        <v>4</v>
      </c>
      <c r="Q665" t="s">
        <v>46</v>
      </c>
      <c r="R665"/>
      <c r="S665" t="s">
        <v>3828</v>
      </c>
      <c r="T665"/>
      <c r="U665" t="s">
        <v>45</v>
      </c>
      <c r="V665" t="s">
        <v>3829</v>
      </c>
      <c r="W665" s="88" t="s">
        <v>4034</v>
      </c>
    </row>
    <row r="666" spans="1:23" ht="14.4">
      <c r="A666" s="7" t="s">
        <v>1533</v>
      </c>
      <c r="B666" t="s">
        <v>1512</v>
      </c>
      <c r="C666" t="s">
        <v>2714</v>
      </c>
      <c r="D666" s="7" t="s">
        <v>2329</v>
      </c>
      <c r="E666" s="7" t="s">
        <v>2330</v>
      </c>
      <c r="F666" s="18" t="s">
        <v>2328</v>
      </c>
      <c r="G666" s="7" t="s">
        <v>2584</v>
      </c>
      <c r="H666" s="85" t="s">
        <v>3765</v>
      </c>
      <c r="I666" s="85" t="s">
        <v>2716</v>
      </c>
      <c r="J666" s="85"/>
      <c r="K666" s="85" t="s">
        <v>47</v>
      </c>
      <c r="L666" s="85">
        <v>4</v>
      </c>
      <c r="M666" s="20">
        <f>Table9[[#This Row],[Rate
(Please Select from the list)]]/5</f>
        <v>0.8</v>
      </c>
      <c r="N666" s="77">
        <v>2.72</v>
      </c>
      <c r="O666" s="74">
        <f>Table9[[#This Row],[Score %]]*Table9[[#This Row],[Item Weight
(Please Select from the list)]]</f>
        <v>2.1760000000000002</v>
      </c>
      <c r="P666" s="80">
        <v>4</v>
      </c>
      <c r="Q666" t="s">
        <v>46</v>
      </c>
      <c r="R666"/>
      <c r="S666" t="s">
        <v>57</v>
      </c>
      <c r="T666"/>
      <c r="U666" t="s">
        <v>44</v>
      </c>
      <c r="V666" t="s">
        <v>3812</v>
      </c>
      <c r="W666" s="88" t="s">
        <v>4034</v>
      </c>
    </row>
    <row r="667" spans="1:23" ht="14.4">
      <c r="A667" s="7" t="s">
        <v>1533</v>
      </c>
      <c r="B667" t="s">
        <v>1512</v>
      </c>
      <c r="C667" t="s">
        <v>2714</v>
      </c>
      <c r="D667" s="7" t="s">
        <v>2332</v>
      </c>
      <c r="E667" s="7" t="s">
        <v>2333</v>
      </c>
      <c r="F667" s="18" t="s">
        <v>2331</v>
      </c>
      <c r="G667" s="7" t="s">
        <v>2584</v>
      </c>
      <c r="H667" s="85" t="s">
        <v>3766</v>
      </c>
      <c r="I667" s="85" t="s">
        <v>2736</v>
      </c>
      <c r="J667" s="85"/>
      <c r="K667" s="85" t="s">
        <v>47</v>
      </c>
      <c r="L667" s="85">
        <v>4</v>
      </c>
      <c r="M667" s="20">
        <f>Table9[[#This Row],[Rate
(Please Select from the list)]]/5</f>
        <v>0.8</v>
      </c>
      <c r="N667" s="77">
        <v>2.72</v>
      </c>
      <c r="O667" s="74">
        <f>Table9[[#This Row],[Score %]]*Table9[[#This Row],[Item Weight
(Please Select from the list)]]</f>
        <v>2.1760000000000002</v>
      </c>
      <c r="P667" s="80">
        <v>4</v>
      </c>
      <c r="Q667" t="s">
        <v>46</v>
      </c>
      <c r="R667"/>
      <c r="S667" t="s">
        <v>57</v>
      </c>
      <c r="T667"/>
      <c r="U667" t="s">
        <v>44</v>
      </c>
      <c r="V667" t="s">
        <v>3812</v>
      </c>
      <c r="W667" s="88" t="s">
        <v>4034</v>
      </c>
    </row>
    <row r="668" spans="1:23" ht="14.4">
      <c r="A668" s="7" t="s">
        <v>1533</v>
      </c>
      <c r="B668" t="s">
        <v>1512</v>
      </c>
      <c r="C668" t="s">
        <v>2714</v>
      </c>
      <c r="D668" s="7" t="s">
        <v>2335</v>
      </c>
      <c r="E668" s="7" t="s">
        <v>2336</v>
      </c>
      <c r="F668" s="18" t="s">
        <v>2334</v>
      </c>
      <c r="G668" s="7" t="s">
        <v>2584</v>
      </c>
      <c r="H668" s="85" t="s">
        <v>3767</v>
      </c>
      <c r="I668" s="85" t="s">
        <v>2736</v>
      </c>
      <c r="J668" s="85" t="s">
        <v>3768</v>
      </c>
      <c r="K668" s="85" t="s">
        <v>16</v>
      </c>
      <c r="L668" s="85">
        <v>3</v>
      </c>
      <c r="M668" s="20">
        <f>Table9[[#This Row],[Rate
(Please Select from the list)]]/5</f>
        <v>0.6</v>
      </c>
      <c r="N668" s="77">
        <v>3.4</v>
      </c>
      <c r="O668" s="74">
        <f>Table9[[#This Row],[Score %]]*Table9[[#This Row],[Item Weight
(Please Select from the list)]]</f>
        <v>2.04</v>
      </c>
      <c r="P668" s="80">
        <v>5</v>
      </c>
      <c r="Q668" t="s">
        <v>59</v>
      </c>
      <c r="R668" t="s">
        <v>4028</v>
      </c>
      <c r="S668" t="s">
        <v>29</v>
      </c>
      <c r="T668" s="86">
        <v>45421</v>
      </c>
      <c r="U668" t="s">
        <v>30</v>
      </c>
      <c r="V668" t="s">
        <v>3817</v>
      </c>
      <c r="W668" s="88" t="s">
        <v>4034</v>
      </c>
    </row>
    <row r="669" spans="1:23" ht="14.4">
      <c r="A669" s="7" t="s">
        <v>1533</v>
      </c>
      <c r="B669" t="s">
        <v>1512</v>
      </c>
      <c r="C669" t="s">
        <v>2714</v>
      </c>
      <c r="D669" s="7" t="s">
        <v>2338</v>
      </c>
      <c r="E669" s="7" t="s">
        <v>2339</v>
      </c>
      <c r="F669" s="18" t="s">
        <v>2337</v>
      </c>
      <c r="G669" s="7" t="s">
        <v>2584</v>
      </c>
      <c r="H669" s="85" t="s">
        <v>3769</v>
      </c>
      <c r="I669" s="85" t="s">
        <v>2716</v>
      </c>
      <c r="J669" s="85"/>
      <c r="K669" s="85" t="s">
        <v>855</v>
      </c>
      <c r="L669" s="85">
        <v>4</v>
      </c>
      <c r="M669" s="20">
        <f>Table9[[#This Row],[Rate
(Please Select from the list)]]/5</f>
        <v>0.8</v>
      </c>
      <c r="N669" s="77">
        <v>2.72</v>
      </c>
      <c r="O669" s="74">
        <f>Table9[[#This Row],[Score %]]*Table9[[#This Row],[Item Weight
(Please Select from the list)]]</f>
        <v>2.1760000000000002</v>
      </c>
      <c r="P669" s="80">
        <v>4</v>
      </c>
      <c r="Q669" t="s">
        <v>15</v>
      </c>
      <c r="R669"/>
      <c r="S669" t="s">
        <v>43</v>
      </c>
      <c r="T669"/>
      <c r="U669" t="s">
        <v>58</v>
      </c>
      <c r="V669" t="s">
        <v>3812</v>
      </c>
      <c r="W669" s="88" t="s">
        <v>4034</v>
      </c>
    </row>
    <row r="670" spans="1:23" ht="14.4">
      <c r="A670" s="7" t="s">
        <v>1533</v>
      </c>
      <c r="B670" t="s">
        <v>1512</v>
      </c>
      <c r="C670" t="s">
        <v>2714</v>
      </c>
      <c r="D670" s="7" t="s">
        <v>2341</v>
      </c>
      <c r="E670" s="7" t="s">
        <v>2342</v>
      </c>
      <c r="F670" s="18" t="s">
        <v>2340</v>
      </c>
      <c r="G670" s="7" t="s">
        <v>2584</v>
      </c>
      <c r="H670" s="85" t="s">
        <v>3770</v>
      </c>
      <c r="I670" s="85" t="s">
        <v>2731</v>
      </c>
      <c r="J670" s="85"/>
      <c r="K670" s="85" t="s">
        <v>47</v>
      </c>
      <c r="L670" s="85">
        <v>5</v>
      </c>
      <c r="M670" s="20">
        <f>Table9[[#This Row],[Rate
(Please Select from the list)]]/5</f>
        <v>1</v>
      </c>
      <c r="N670" s="77">
        <v>2.72</v>
      </c>
      <c r="O670" s="74">
        <f>Table9[[#This Row],[Score %]]*Table9[[#This Row],[Item Weight
(Please Select from the list)]]</f>
        <v>2.72</v>
      </c>
      <c r="P670" s="80">
        <v>4</v>
      </c>
      <c r="Q670" t="s">
        <v>59</v>
      </c>
      <c r="R670"/>
      <c r="S670" t="s">
        <v>57</v>
      </c>
      <c r="T670"/>
      <c r="U670" t="s">
        <v>44</v>
      </c>
      <c r="V670" t="s">
        <v>3851</v>
      </c>
      <c r="W670" s="88" t="s">
        <v>4034</v>
      </c>
    </row>
    <row r="671" spans="1:23" ht="14.4">
      <c r="A671" s="7" t="s">
        <v>1533</v>
      </c>
      <c r="B671" t="s">
        <v>1512</v>
      </c>
      <c r="C671" t="s">
        <v>2714</v>
      </c>
      <c r="D671" s="7" t="s">
        <v>2344</v>
      </c>
      <c r="E671" s="7" t="s">
        <v>2345</v>
      </c>
      <c r="F671" s="18" t="s">
        <v>2343</v>
      </c>
      <c r="G671" s="7" t="s">
        <v>2584</v>
      </c>
      <c r="H671" s="85" t="s">
        <v>3771</v>
      </c>
      <c r="I671" s="85" t="s">
        <v>2795</v>
      </c>
      <c r="J671" s="85" t="s">
        <v>3772</v>
      </c>
      <c r="K671" s="85" t="s">
        <v>16</v>
      </c>
      <c r="L671" s="85">
        <v>3</v>
      </c>
      <c r="M671" s="20">
        <f>Table9[[#This Row],[Rate
(Please Select from the list)]]/5</f>
        <v>0.6</v>
      </c>
      <c r="N671" s="77">
        <v>2.72</v>
      </c>
      <c r="O671" s="74">
        <f>Table9[[#This Row],[Score %]]*Table9[[#This Row],[Item Weight
(Please Select from the list)]]</f>
        <v>1.6320000000000001</v>
      </c>
      <c r="P671" s="80">
        <v>4</v>
      </c>
      <c r="Q671" t="s">
        <v>15</v>
      </c>
      <c r="R671"/>
      <c r="S671" t="s">
        <v>29</v>
      </c>
      <c r="T671"/>
      <c r="U671" t="s">
        <v>44</v>
      </c>
      <c r="V671" t="s">
        <v>3817</v>
      </c>
      <c r="W671" s="88" t="s">
        <v>4034</v>
      </c>
    </row>
    <row r="672" spans="1:23" ht="14.4">
      <c r="A672" s="7" t="s">
        <v>1533</v>
      </c>
      <c r="B672" t="s">
        <v>1512</v>
      </c>
      <c r="C672" t="s">
        <v>2714</v>
      </c>
      <c r="D672" s="7" t="s">
        <v>2347</v>
      </c>
      <c r="E672" s="7" t="s">
        <v>2348</v>
      </c>
      <c r="F672" s="18" t="s">
        <v>2346</v>
      </c>
      <c r="G672" s="7" t="s">
        <v>2584</v>
      </c>
      <c r="H672" s="85" t="s">
        <v>3773</v>
      </c>
      <c r="I672" s="85" t="s">
        <v>2754</v>
      </c>
      <c r="J672" s="85" t="s">
        <v>3774</v>
      </c>
      <c r="K672" s="85" t="s">
        <v>16</v>
      </c>
      <c r="L672" s="85">
        <v>3</v>
      </c>
      <c r="M672" s="20">
        <f>Table9[[#This Row],[Rate
(Please Select from the list)]]/5</f>
        <v>0.6</v>
      </c>
      <c r="N672" s="77">
        <v>2.72</v>
      </c>
      <c r="O672" s="74">
        <f>Table9[[#This Row],[Score %]]*Table9[[#This Row],[Item Weight
(Please Select from the list)]]</f>
        <v>1.6320000000000001</v>
      </c>
      <c r="P672" s="80">
        <v>4</v>
      </c>
      <c r="Q672" t="s">
        <v>46</v>
      </c>
      <c r="R672"/>
      <c r="S672" t="s">
        <v>43</v>
      </c>
      <c r="T672"/>
      <c r="U672" t="s">
        <v>44</v>
      </c>
      <c r="V672" t="s">
        <v>3813</v>
      </c>
      <c r="W672" s="88" t="s">
        <v>4034</v>
      </c>
    </row>
    <row r="673" spans="1:23" ht="14.4">
      <c r="A673" s="7" t="s">
        <v>1533</v>
      </c>
      <c r="B673" t="s">
        <v>1512</v>
      </c>
      <c r="C673" t="s">
        <v>2714</v>
      </c>
      <c r="D673" s="7" t="s">
        <v>2350</v>
      </c>
      <c r="E673" s="7" t="s">
        <v>2351</v>
      </c>
      <c r="F673" s="18" t="s">
        <v>2349</v>
      </c>
      <c r="G673" s="7" t="s">
        <v>2584</v>
      </c>
      <c r="H673" s="85" t="s">
        <v>3775</v>
      </c>
      <c r="I673" s="85" t="s">
        <v>2725</v>
      </c>
      <c r="J673" s="85" t="s">
        <v>3776</v>
      </c>
      <c r="K673" s="85" t="s">
        <v>16</v>
      </c>
      <c r="L673" s="85">
        <v>3</v>
      </c>
      <c r="M673" s="20">
        <f>Table9[[#This Row],[Rate
(Please Select from the list)]]/5</f>
        <v>0.6</v>
      </c>
      <c r="N673" s="77">
        <v>2.72</v>
      </c>
      <c r="O673" s="74">
        <f>Table9[[#This Row],[Score %]]*Table9[[#This Row],[Item Weight
(Please Select from the list)]]</f>
        <v>1.6320000000000001</v>
      </c>
      <c r="P673" s="80">
        <v>4</v>
      </c>
      <c r="Q673" t="s">
        <v>46</v>
      </c>
      <c r="R673" t="s">
        <v>4029</v>
      </c>
      <c r="S673" t="s">
        <v>29</v>
      </c>
      <c r="T673" s="86">
        <v>45421</v>
      </c>
      <c r="U673" t="s">
        <v>14</v>
      </c>
      <c r="V673" t="s">
        <v>3825</v>
      </c>
      <c r="W673" s="88" t="s">
        <v>4034</v>
      </c>
    </row>
    <row r="674" spans="1:23" ht="14.4">
      <c r="A674" s="7" t="s">
        <v>1533</v>
      </c>
      <c r="B674" t="s">
        <v>1512</v>
      </c>
      <c r="C674" t="s">
        <v>2714</v>
      </c>
      <c r="D674" s="7" t="s">
        <v>2353</v>
      </c>
      <c r="E674" s="7" t="s">
        <v>2354</v>
      </c>
      <c r="F674" s="18" t="s">
        <v>2352</v>
      </c>
      <c r="G674" s="7" t="s">
        <v>2584</v>
      </c>
      <c r="H674" s="85" t="s">
        <v>3777</v>
      </c>
      <c r="I674" s="85" t="s">
        <v>2731</v>
      </c>
      <c r="J674" s="85"/>
      <c r="K674" s="85" t="s">
        <v>47</v>
      </c>
      <c r="L674" s="85">
        <v>4</v>
      </c>
      <c r="M674" s="20">
        <f>Table9[[#This Row],[Rate
(Please Select from the list)]]/5</f>
        <v>0.8</v>
      </c>
      <c r="N674" s="77">
        <v>3.4</v>
      </c>
      <c r="O674" s="74">
        <f>Table9[[#This Row],[Score %]]*Table9[[#This Row],[Item Weight
(Please Select from the list)]]</f>
        <v>2.72</v>
      </c>
      <c r="P674" s="80">
        <v>5</v>
      </c>
      <c r="Q674" t="s">
        <v>15</v>
      </c>
      <c r="R674"/>
      <c r="S674" t="s">
        <v>57</v>
      </c>
      <c r="T674"/>
      <c r="U674" t="s">
        <v>58</v>
      </c>
      <c r="V674" t="s">
        <v>3812</v>
      </c>
      <c r="W674" s="88" t="s">
        <v>4034</v>
      </c>
    </row>
    <row r="675" spans="1:23" ht="14.4">
      <c r="A675" s="7" t="s">
        <v>1533</v>
      </c>
      <c r="B675" t="s">
        <v>1512</v>
      </c>
      <c r="C675" t="s">
        <v>2714</v>
      </c>
      <c r="D675" s="7" t="s">
        <v>2356</v>
      </c>
      <c r="E675" s="7" t="s">
        <v>2357</v>
      </c>
      <c r="F675" s="18" t="s">
        <v>2355</v>
      </c>
      <c r="G675" s="7" t="s">
        <v>2584</v>
      </c>
      <c r="H675" s="85" t="s">
        <v>3778</v>
      </c>
      <c r="I675" s="85" t="s">
        <v>2795</v>
      </c>
      <c r="J675" s="85" t="s">
        <v>3779</v>
      </c>
      <c r="K675" s="85" t="s">
        <v>16</v>
      </c>
      <c r="L675" s="85">
        <v>3</v>
      </c>
      <c r="M675" s="20">
        <f>Table9[[#This Row],[Rate
(Please Select from the list)]]/5</f>
        <v>0.6</v>
      </c>
      <c r="N675" s="77">
        <v>2.72</v>
      </c>
      <c r="O675" s="74">
        <f>Table9[[#This Row],[Score %]]*Table9[[#This Row],[Item Weight
(Please Select from the list)]]</f>
        <v>1.6320000000000001</v>
      </c>
      <c r="P675" s="80">
        <v>4</v>
      </c>
      <c r="Q675" t="s">
        <v>59</v>
      </c>
      <c r="R675" t="s">
        <v>4030</v>
      </c>
      <c r="S675" t="s">
        <v>29</v>
      </c>
      <c r="T675" s="86">
        <v>45421</v>
      </c>
      <c r="U675" t="s">
        <v>30</v>
      </c>
      <c r="V675" t="s">
        <v>3815</v>
      </c>
      <c r="W675" s="88" t="s">
        <v>4034</v>
      </c>
    </row>
    <row r="676" spans="1:23" ht="14.4">
      <c r="A676" s="7" t="s">
        <v>1533</v>
      </c>
      <c r="B676" t="s">
        <v>1512</v>
      </c>
      <c r="C676" t="s">
        <v>2714</v>
      </c>
      <c r="D676" s="7" t="s">
        <v>2359</v>
      </c>
      <c r="E676" s="7" t="s">
        <v>2360</v>
      </c>
      <c r="F676" s="18" t="s">
        <v>2358</v>
      </c>
      <c r="G676" s="7" t="s">
        <v>2584</v>
      </c>
      <c r="H676" s="85" t="s">
        <v>3780</v>
      </c>
      <c r="I676" s="85" t="s">
        <v>2748</v>
      </c>
      <c r="J676" s="85" t="s">
        <v>3781</v>
      </c>
      <c r="K676" s="85" t="s">
        <v>16</v>
      </c>
      <c r="L676" s="85">
        <v>2</v>
      </c>
      <c r="M676" s="20">
        <f>Table9[[#This Row],[Rate
(Please Select from the list)]]/5</f>
        <v>0.4</v>
      </c>
      <c r="N676" s="77">
        <v>2.72</v>
      </c>
      <c r="O676" s="74">
        <f>Table9[[#This Row],[Score %]]*Table9[[#This Row],[Item Weight
(Please Select from the list)]]</f>
        <v>1.0880000000000001</v>
      </c>
      <c r="P676" s="80">
        <v>4</v>
      </c>
      <c r="Q676" t="s">
        <v>59</v>
      </c>
      <c r="R676" t="s">
        <v>4031</v>
      </c>
      <c r="S676" t="s">
        <v>13</v>
      </c>
      <c r="T676" t="s">
        <v>3820</v>
      </c>
      <c r="U676" t="s">
        <v>14</v>
      </c>
      <c r="V676" t="s">
        <v>3823</v>
      </c>
      <c r="W676" s="88" t="s">
        <v>4034</v>
      </c>
    </row>
    <row r="677" spans="1:23" ht="14.4">
      <c r="A677" s="7" t="s">
        <v>1533</v>
      </c>
      <c r="B677" t="s">
        <v>1512</v>
      </c>
      <c r="C677" t="s">
        <v>2714</v>
      </c>
      <c r="D677" s="7" t="s">
        <v>2362</v>
      </c>
      <c r="E677" s="7" t="s">
        <v>2363</v>
      </c>
      <c r="F677" s="18" t="s">
        <v>2361</v>
      </c>
      <c r="G677" s="7" t="s">
        <v>2584</v>
      </c>
      <c r="H677" s="85" t="s">
        <v>3782</v>
      </c>
      <c r="I677" s="85" t="s">
        <v>2728</v>
      </c>
      <c r="J677" s="85"/>
      <c r="K677" s="85" t="s">
        <v>16</v>
      </c>
      <c r="L677" s="85">
        <v>4</v>
      </c>
      <c r="M677" s="20">
        <f>Table9[[#This Row],[Rate
(Please Select from the list)]]/5</f>
        <v>0.8</v>
      </c>
      <c r="N677" s="77">
        <v>2.72</v>
      </c>
      <c r="O677" s="74">
        <f>Table9[[#This Row],[Score %]]*Table9[[#This Row],[Item Weight
(Please Select from the list)]]</f>
        <v>2.1760000000000002</v>
      </c>
      <c r="P677" s="80">
        <v>4</v>
      </c>
      <c r="Q677" t="s">
        <v>3852</v>
      </c>
      <c r="R677"/>
      <c r="S677" t="s">
        <v>57</v>
      </c>
      <c r="T677"/>
      <c r="U677" t="s">
        <v>58</v>
      </c>
      <c r="V677" t="s">
        <v>3812</v>
      </c>
      <c r="W677" s="88" t="s">
        <v>4034</v>
      </c>
    </row>
    <row r="678" spans="1:23" ht="14.4">
      <c r="A678" s="7" t="s">
        <v>1533</v>
      </c>
      <c r="B678" t="s">
        <v>1512</v>
      </c>
      <c r="C678" t="s">
        <v>2714</v>
      </c>
      <c r="D678" s="7" t="s">
        <v>2365</v>
      </c>
      <c r="E678" s="7" t="s">
        <v>2366</v>
      </c>
      <c r="F678" s="18" t="s">
        <v>2364</v>
      </c>
      <c r="G678" s="7" t="s">
        <v>2584</v>
      </c>
      <c r="H678" s="85" t="s">
        <v>3783</v>
      </c>
      <c r="I678" s="85" t="s">
        <v>2736</v>
      </c>
      <c r="J678" s="85"/>
      <c r="K678" s="85" t="s">
        <v>47</v>
      </c>
      <c r="L678" s="85">
        <v>4</v>
      </c>
      <c r="M678" s="20">
        <f>Table9[[#This Row],[Rate
(Please Select from the list)]]/5</f>
        <v>0.8</v>
      </c>
      <c r="N678" s="77">
        <v>3.4</v>
      </c>
      <c r="O678" s="74">
        <f>Table9[[#This Row],[Score %]]*Table9[[#This Row],[Item Weight
(Please Select from the list)]]</f>
        <v>2.72</v>
      </c>
      <c r="P678" s="80">
        <v>5</v>
      </c>
      <c r="Q678" t="s">
        <v>46</v>
      </c>
      <c r="R678"/>
      <c r="S678" t="s">
        <v>57</v>
      </c>
      <c r="T678"/>
      <c r="U678" t="s">
        <v>44</v>
      </c>
      <c r="V678" t="s">
        <v>3812</v>
      </c>
      <c r="W678" s="88" t="s">
        <v>4034</v>
      </c>
    </row>
    <row r="679" spans="1:23" ht="14.4">
      <c r="A679" s="7" t="s">
        <v>1533</v>
      </c>
      <c r="B679" t="s">
        <v>1512</v>
      </c>
      <c r="C679" t="s">
        <v>2714</v>
      </c>
      <c r="D679" s="7" t="s">
        <v>2368</v>
      </c>
      <c r="E679" s="7" t="s">
        <v>2369</v>
      </c>
      <c r="F679" s="18" t="s">
        <v>2367</v>
      </c>
      <c r="G679" s="7" t="s">
        <v>2584</v>
      </c>
      <c r="H679" s="85" t="s">
        <v>3784</v>
      </c>
      <c r="I679" s="85" t="s">
        <v>2795</v>
      </c>
      <c r="J679" s="85" t="s">
        <v>3785</v>
      </c>
      <c r="K679" s="85" t="s">
        <v>16</v>
      </c>
      <c r="L679" s="85">
        <v>3</v>
      </c>
      <c r="M679" s="20">
        <f>Table9[[#This Row],[Rate
(Please Select from the list)]]/5</f>
        <v>0.6</v>
      </c>
      <c r="N679" s="77">
        <v>3.4</v>
      </c>
      <c r="O679" s="74">
        <f>Table9[[#This Row],[Score %]]*Table9[[#This Row],[Item Weight
(Please Select from the list)]]</f>
        <v>2.04</v>
      </c>
      <c r="P679" s="80">
        <v>5</v>
      </c>
      <c r="Q679" t="s">
        <v>15</v>
      </c>
      <c r="R679"/>
      <c r="S679" t="s">
        <v>43</v>
      </c>
      <c r="T679"/>
      <c r="U679" t="s">
        <v>44</v>
      </c>
      <c r="V679" t="s">
        <v>3825</v>
      </c>
      <c r="W679" s="88" t="s">
        <v>4034</v>
      </c>
    </row>
    <row r="680" spans="1:23" ht="14.4">
      <c r="A680" s="7" t="s">
        <v>1533</v>
      </c>
      <c r="B680" t="s">
        <v>1512</v>
      </c>
      <c r="C680" t="s">
        <v>2714</v>
      </c>
      <c r="D680" s="7" t="s">
        <v>2371</v>
      </c>
      <c r="E680" s="7" t="s">
        <v>2372</v>
      </c>
      <c r="F680" s="18" t="s">
        <v>2370</v>
      </c>
      <c r="G680" s="7" t="s">
        <v>2584</v>
      </c>
      <c r="H680" s="85" t="s">
        <v>3786</v>
      </c>
      <c r="I680" s="85" t="s">
        <v>2748</v>
      </c>
      <c r="J680" s="85"/>
      <c r="K680" s="85" t="s">
        <v>47</v>
      </c>
      <c r="L680" s="85">
        <v>4</v>
      </c>
      <c r="M680" s="20">
        <f>Table9[[#This Row],[Rate
(Please Select from the list)]]/5</f>
        <v>0.8</v>
      </c>
      <c r="N680" s="77">
        <v>2.72</v>
      </c>
      <c r="O680" s="74">
        <f>Table9[[#This Row],[Score %]]*Table9[[#This Row],[Item Weight
(Please Select from the list)]]</f>
        <v>2.1760000000000002</v>
      </c>
      <c r="P680" s="80">
        <v>4</v>
      </c>
      <c r="Q680" t="s">
        <v>46</v>
      </c>
      <c r="R680"/>
      <c r="S680" t="s">
        <v>57</v>
      </c>
      <c r="T680"/>
      <c r="U680" t="s">
        <v>44</v>
      </c>
      <c r="V680" t="s">
        <v>3812</v>
      </c>
      <c r="W680" s="88" t="s">
        <v>4034</v>
      </c>
    </row>
    <row r="681" spans="1:23" ht="14.4">
      <c r="A681" s="7" t="s">
        <v>1533</v>
      </c>
      <c r="B681" t="s">
        <v>1512</v>
      </c>
      <c r="C681" t="s">
        <v>2714</v>
      </c>
      <c r="D681" s="7" t="s">
        <v>2374</v>
      </c>
      <c r="E681" s="7" t="s">
        <v>2375</v>
      </c>
      <c r="F681" s="18" t="s">
        <v>2373</v>
      </c>
      <c r="G681" s="7" t="s">
        <v>2584</v>
      </c>
      <c r="H681" s="85" t="s">
        <v>3787</v>
      </c>
      <c r="I681" s="85" t="s">
        <v>2736</v>
      </c>
      <c r="J681" s="85"/>
      <c r="K681" s="85" t="s">
        <v>16</v>
      </c>
      <c r="L681" s="85">
        <v>4</v>
      </c>
      <c r="M681" s="20">
        <f>Table9[[#This Row],[Rate
(Please Select from the list)]]/5</f>
        <v>0.8</v>
      </c>
      <c r="N681" s="77">
        <v>2.72</v>
      </c>
      <c r="O681" s="74">
        <f>Table9[[#This Row],[Score %]]*Table9[[#This Row],[Item Weight
(Please Select from the list)]]</f>
        <v>2.1760000000000002</v>
      </c>
      <c r="P681" s="80">
        <v>4</v>
      </c>
      <c r="Q681" t="s">
        <v>46</v>
      </c>
      <c r="R681"/>
      <c r="S681" t="s">
        <v>57</v>
      </c>
      <c r="T681"/>
      <c r="U681" t="s">
        <v>44</v>
      </c>
      <c r="V681" t="s">
        <v>3812</v>
      </c>
      <c r="W681" s="88" t="s">
        <v>4034</v>
      </c>
    </row>
    <row r="682" spans="1:23" ht="14.4">
      <c r="A682" s="7" t="s">
        <v>1533</v>
      </c>
      <c r="B682" t="s">
        <v>1512</v>
      </c>
      <c r="C682" t="s">
        <v>2714</v>
      </c>
      <c r="D682" s="7" t="s">
        <v>2377</v>
      </c>
      <c r="E682" s="7" t="s">
        <v>2378</v>
      </c>
      <c r="F682" s="18" t="s">
        <v>2376</v>
      </c>
      <c r="G682" s="7" t="s">
        <v>2584</v>
      </c>
      <c r="H682" s="85" t="s">
        <v>3788</v>
      </c>
      <c r="I682" s="85" t="s">
        <v>2795</v>
      </c>
      <c r="J682" s="85" t="s">
        <v>3789</v>
      </c>
      <c r="K682" s="85" t="s">
        <v>16</v>
      </c>
      <c r="L682" s="85">
        <v>3</v>
      </c>
      <c r="M682" s="20">
        <f>Table9[[#This Row],[Rate
(Please Select from the list)]]/5</f>
        <v>0.6</v>
      </c>
      <c r="N682" s="77">
        <v>2.72</v>
      </c>
      <c r="O682" s="74">
        <f>Table9[[#This Row],[Score %]]*Table9[[#This Row],[Item Weight
(Please Select from the list)]]</f>
        <v>1.6320000000000001</v>
      </c>
      <c r="P682" s="80">
        <v>4</v>
      </c>
      <c r="Q682" t="s">
        <v>46</v>
      </c>
      <c r="R682"/>
      <c r="S682" t="s">
        <v>43</v>
      </c>
      <c r="T682"/>
      <c r="U682" t="s">
        <v>44</v>
      </c>
      <c r="V682" t="s">
        <v>3817</v>
      </c>
      <c r="W682" s="88" t="s">
        <v>4034</v>
      </c>
    </row>
    <row r="683" spans="1:23" ht="14.4">
      <c r="A683" s="7" t="s">
        <v>1533</v>
      </c>
      <c r="B683" t="s">
        <v>1512</v>
      </c>
      <c r="C683" t="s">
        <v>2714</v>
      </c>
      <c r="D683" s="7" t="s">
        <v>2380</v>
      </c>
      <c r="E683" s="7" t="s">
        <v>2381</v>
      </c>
      <c r="F683" s="18" t="s">
        <v>2379</v>
      </c>
      <c r="G683" s="7" t="s">
        <v>2584</v>
      </c>
      <c r="H683" s="85" t="s">
        <v>3790</v>
      </c>
      <c r="I683" s="85" t="s">
        <v>2731</v>
      </c>
      <c r="J683" s="85" t="s">
        <v>3791</v>
      </c>
      <c r="K683" s="85" t="s">
        <v>16</v>
      </c>
      <c r="L683" s="85">
        <v>2</v>
      </c>
      <c r="M683" s="20">
        <f>Table9[[#This Row],[Rate
(Please Select from the list)]]/5</f>
        <v>0.4</v>
      </c>
      <c r="N683" s="77">
        <v>2.72</v>
      </c>
      <c r="O683" s="74">
        <f>Table9[[#This Row],[Score %]]*Table9[[#This Row],[Item Weight
(Please Select from the list)]]</f>
        <v>1.0880000000000001</v>
      </c>
      <c r="P683" s="80">
        <v>4</v>
      </c>
      <c r="Q683" t="s">
        <v>46</v>
      </c>
      <c r="R683" t="s">
        <v>4032</v>
      </c>
      <c r="S683" t="s">
        <v>29</v>
      </c>
      <c r="T683" s="86">
        <v>45421</v>
      </c>
      <c r="U683" t="s">
        <v>14</v>
      </c>
      <c r="V683" t="s">
        <v>3823</v>
      </c>
      <c r="W683" s="88" t="s">
        <v>4034</v>
      </c>
    </row>
    <row r="684" spans="1:23" ht="14.4">
      <c r="A684" s="7" t="s">
        <v>1533</v>
      </c>
      <c r="B684" t="s">
        <v>1512</v>
      </c>
      <c r="C684" t="s">
        <v>2714</v>
      </c>
      <c r="D684" s="7" t="s">
        <v>2383</v>
      </c>
      <c r="E684" s="7" t="s">
        <v>2384</v>
      </c>
      <c r="F684" s="18" t="s">
        <v>2382</v>
      </c>
      <c r="G684" s="7" t="s">
        <v>2584</v>
      </c>
      <c r="H684" s="85" t="s">
        <v>3792</v>
      </c>
      <c r="I684" s="85" t="s">
        <v>2748</v>
      </c>
      <c r="J684" s="85"/>
      <c r="K684" s="85" t="s">
        <v>16</v>
      </c>
      <c r="L684" s="85">
        <v>4</v>
      </c>
      <c r="M684" s="20">
        <f>Table9[[#This Row],[Rate
(Please Select from the list)]]/5</f>
        <v>0.8</v>
      </c>
      <c r="N684" s="77">
        <v>2.72</v>
      </c>
      <c r="O684" s="74">
        <f>Table9[[#This Row],[Score %]]*Table9[[#This Row],[Item Weight
(Please Select from the list)]]</f>
        <v>2.1760000000000002</v>
      </c>
      <c r="P684" s="80">
        <v>4</v>
      </c>
      <c r="Q684" t="s">
        <v>59</v>
      </c>
      <c r="R684"/>
      <c r="S684" t="s">
        <v>57</v>
      </c>
      <c r="T684"/>
      <c r="U684" t="s">
        <v>44</v>
      </c>
      <c r="V684" t="s">
        <v>3812</v>
      </c>
      <c r="W684" s="88" t="s">
        <v>4034</v>
      </c>
    </row>
    <row r="685" spans="1:23" ht="14.4">
      <c r="A685" s="7" t="s">
        <v>1533</v>
      </c>
      <c r="B685" t="s">
        <v>1512</v>
      </c>
      <c r="C685" t="s">
        <v>2714</v>
      </c>
      <c r="D685" s="7" t="s">
        <v>2386</v>
      </c>
      <c r="E685" s="7" t="s">
        <v>2387</v>
      </c>
      <c r="F685" s="18" t="s">
        <v>2385</v>
      </c>
      <c r="G685" s="7" t="s">
        <v>2584</v>
      </c>
      <c r="H685" s="85" t="s">
        <v>3793</v>
      </c>
      <c r="I685" s="85" t="s">
        <v>2736</v>
      </c>
      <c r="J685" s="85" t="s">
        <v>3794</v>
      </c>
      <c r="K685" s="85" t="s">
        <v>16</v>
      </c>
      <c r="L685" s="85">
        <v>3</v>
      </c>
      <c r="M685" s="20">
        <f>Table9[[#This Row],[Rate
(Please Select from the list)]]/5</f>
        <v>0.6</v>
      </c>
      <c r="N685" s="77">
        <v>2.72</v>
      </c>
      <c r="O685" s="74">
        <f>Table9[[#This Row],[Score %]]*Table9[[#This Row],[Item Weight
(Please Select from the list)]]</f>
        <v>1.6320000000000001</v>
      </c>
      <c r="P685" s="80">
        <v>4</v>
      </c>
      <c r="Q685" t="s">
        <v>46</v>
      </c>
      <c r="R685"/>
      <c r="S685" t="s">
        <v>43</v>
      </c>
      <c r="T685"/>
      <c r="U685" t="s">
        <v>58</v>
      </c>
      <c r="V685" t="s">
        <v>3813</v>
      </c>
      <c r="W685" s="88" t="s">
        <v>4034</v>
      </c>
    </row>
    <row r="686" spans="1:23" ht="14.4">
      <c r="A686" s="7" t="s">
        <v>1533</v>
      </c>
      <c r="B686" t="s">
        <v>1512</v>
      </c>
      <c r="C686" t="s">
        <v>2714</v>
      </c>
      <c r="D686" s="7" t="s">
        <v>2389</v>
      </c>
      <c r="E686" s="7" t="s">
        <v>2390</v>
      </c>
      <c r="F686" s="18" t="s">
        <v>2388</v>
      </c>
      <c r="G686" s="7" t="s">
        <v>2584</v>
      </c>
      <c r="H686" s="85" t="s">
        <v>3795</v>
      </c>
      <c r="I686" s="85" t="s">
        <v>2725</v>
      </c>
      <c r="J686" s="85" t="s">
        <v>3796</v>
      </c>
      <c r="K686" s="85" t="s">
        <v>16</v>
      </c>
      <c r="L686" s="85">
        <v>3</v>
      </c>
      <c r="M686" s="20">
        <f>Table9[[#This Row],[Rate
(Please Select from the list)]]/5</f>
        <v>0.6</v>
      </c>
      <c r="N686" s="77">
        <v>2.72</v>
      </c>
      <c r="O686" s="74">
        <f>Table9[[#This Row],[Score %]]*Table9[[#This Row],[Item Weight
(Please Select from the list)]]</f>
        <v>1.6320000000000001</v>
      </c>
      <c r="P686" s="80">
        <v>4</v>
      </c>
      <c r="Q686" t="s">
        <v>46</v>
      </c>
      <c r="R686"/>
      <c r="S686" t="s">
        <v>43</v>
      </c>
      <c r="T686"/>
      <c r="U686" t="s">
        <v>58</v>
      </c>
      <c r="V686" t="s">
        <v>3815</v>
      </c>
      <c r="W686" s="88" t="s">
        <v>4034</v>
      </c>
    </row>
    <row r="687" spans="1:23" ht="14.4">
      <c r="A687" s="7" t="s">
        <v>1533</v>
      </c>
      <c r="B687" t="s">
        <v>1512</v>
      </c>
      <c r="C687" t="s">
        <v>2714</v>
      </c>
      <c r="D687" s="7" t="s">
        <v>2392</v>
      </c>
      <c r="E687" s="7" t="s">
        <v>2393</v>
      </c>
      <c r="F687" s="18" t="s">
        <v>2391</v>
      </c>
      <c r="G687" s="7" t="s">
        <v>2584</v>
      </c>
      <c r="H687" s="85" t="s">
        <v>3797</v>
      </c>
      <c r="I687" s="85" t="s">
        <v>2731</v>
      </c>
      <c r="J687" s="85" t="s">
        <v>3798</v>
      </c>
      <c r="K687" s="85" t="s">
        <v>16</v>
      </c>
      <c r="L687" s="85">
        <v>3</v>
      </c>
      <c r="M687" s="20">
        <f>Table9[[#This Row],[Rate
(Please Select from the list)]]/5</f>
        <v>0.6</v>
      </c>
      <c r="N687" s="77">
        <v>2.72</v>
      </c>
      <c r="O687" s="74">
        <f>Table9[[#This Row],[Score %]]*Table9[[#This Row],[Item Weight
(Please Select from the list)]]</f>
        <v>1.6320000000000001</v>
      </c>
      <c r="P687" s="80">
        <v>4</v>
      </c>
      <c r="Q687" t="s">
        <v>31</v>
      </c>
      <c r="R687"/>
      <c r="S687" t="s">
        <v>43</v>
      </c>
      <c r="T687"/>
      <c r="U687" t="s">
        <v>58</v>
      </c>
      <c r="V687" t="s">
        <v>3839</v>
      </c>
      <c r="W687" s="88" t="s">
        <v>4034</v>
      </c>
    </row>
    <row r="688" spans="1:23" ht="14.4">
      <c r="A688" s="7" t="s">
        <v>1533</v>
      </c>
      <c r="B688" t="s">
        <v>1512</v>
      </c>
      <c r="C688" t="s">
        <v>2714</v>
      </c>
      <c r="D688" s="7" t="s">
        <v>2395</v>
      </c>
      <c r="E688" s="7" t="s">
        <v>2396</v>
      </c>
      <c r="F688" s="18" t="s">
        <v>2394</v>
      </c>
      <c r="G688" s="7" t="s">
        <v>2584</v>
      </c>
      <c r="H688" s="85" t="s">
        <v>3799</v>
      </c>
      <c r="I688" s="85" t="s">
        <v>2748</v>
      </c>
      <c r="J688" s="85"/>
      <c r="K688" s="85" t="s">
        <v>16</v>
      </c>
      <c r="L688" s="85">
        <v>4</v>
      </c>
      <c r="M688" s="20">
        <f>Table9[[#This Row],[Rate
(Please Select from the list)]]/5</f>
        <v>0.8</v>
      </c>
      <c r="N688" s="77">
        <v>2.72</v>
      </c>
      <c r="O688" s="74">
        <f>Table9[[#This Row],[Score %]]*Table9[[#This Row],[Item Weight
(Please Select from the list)]]</f>
        <v>2.1760000000000002</v>
      </c>
      <c r="P688" s="80">
        <v>4</v>
      </c>
      <c r="Q688" t="s">
        <v>15</v>
      </c>
      <c r="R688"/>
      <c r="S688" t="s">
        <v>57</v>
      </c>
      <c r="T688"/>
      <c r="U688" t="s">
        <v>58</v>
      </c>
      <c r="V688" t="s">
        <v>3812</v>
      </c>
      <c r="W688" s="88" t="s">
        <v>4034</v>
      </c>
    </row>
    <row r="689" spans="1:23" ht="14.4">
      <c r="A689" s="7" t="s">
        <v>1533</v>
      </c>
      <c r="B689" t="s">
        <v>1512</v>
      </c>
      <c r="C689" t="s">
        <v>2714</v>
      </c>
      <c r="D689" s="7" t="s">
        <v>2398</v>
      </c>
      <c r="E689" s="7" t="s">
        <v>2399</v>
      </c>
      <c r="F689" s="18" t="s">
        <v>2397</v>
      </c>
      <c r="G689" s="7" t="s">
        <v>2584</v>
      </c>
      <c r="H689" s="85" t="s">
        <v>3800</v>
      </c>
      <c r="I689" s="85" t="s">
        <v>2731</v>
      </c>
      <c r="J689" s="85" t="s">
        <v>3801</v>
      </c>
      <c r="K689" s="85" t="s">
        <v>16</v>
      </c>
      <c r="L689" s="85">
        <v>3</v>
      </c>
      <c r="M689" s="20">
        <f>Table9[[#This Row],[Rate
(Please Select from the list)]]/5</f>
        <v>0.6</v>
      </c>
      <c r="N689" s="77">
        <v>2.72</v>
      </c>
      <c r="O689" s="74">
        <f>Table9[[#This Row],[Score %]]*Table9[[#This Row],[Item Weight
(Please Select from the list)]]</f>
        <v>1.6320000000000001</v>
      </c>
      <c r="P689" s="80">
        <v>4</v>
      </c>
      <c r="Q689" t="s">
        <v>59</v>
      </c>
      <c r="R689"/>
      <c r="S689" t="s">
        <v>43</v>
      </c>
      <c r="T689"/>
      <c r="U689" t="s">
        <v>58</v>
      </c>
      <c r="V689" t="s">
        <v>3825</v>
      </c>
      <c r="W689" s="88" t="s">
        <v>4034</v>
      </c>
    </row>
    <row r="690" spans="1:23" ht="14.4">
      <c r="A690" s="7" t="s">
        <v>1533</v>
      </c>
      <c r="B690" t="s">
        <v>1512</v>
      </c>
      <c r="C690" t="s">
        <v>2714</v>
      </c>
      <c r="D690" s="7" t="s">
        <v>2401</v>
      </c>
      <c r="E690" s="7" t="s">
        <v>2402</v>
      </c>
      <c r="F690" s="18" t="s">
        <v>2400</v>
      </c>
      <c r="G690" s="7" t="s">
        <v>2584</v>
      </c>
      <c r="H690" s="85" t="s">
        <v>3802</v>
      </c>
      <c r="I690" s="85" t="s">
        <v>2748</v>
      </c>
      <c r="J690" s="85"/>
      <c r="K690" s="85" t="s">
        <v>16</v>
      </c>
      <c r="L690" s="85">
        <v>4</v>
      </c>
      <c r="M690" s="20">
        <f>Table9[[#This Row],[Rate
(Please Select from the list)]]/5</f>
        <v>0.8</v>
      </c>
      <c r="N690" s="77">
        <v>2.72</v>
      </c>
      <c r="O690" s="74">
        <f>Table9[[#This Row],[Score %]]*Table9[[#This Row],[Item Weight
(Please Select from the list)]]</f>
        <v>2.1760000000000002</v>
      </c>
      <c r="P690" s="80">
        <v>4</v>
      </c>
      <c r="Q690" t="s">
        <v>46</v>
      </c>
      <c r="R690"/>
      <c r="S690" t="s">
        <v>57</v>
      </c>
      <c r="T690"/>
      <c r="U690" t="s">
        <v>58</v>
      </c>
      <c r="V690" t="s">
        <v>3812</v>
      </c>
      <c r="W690" s="88" t="s">
        <v>4034</v>
      </c>
    </row>
    <row r="691" spans="1:23" ht="14.4">
      <c r="A691" s="7" t="s">
        <v>1533</v>
      </c>
      <c r="B691" t="s">
        <v>1512</v>
      </c>
      <c r="C691" t="s">
        <v>2714</v>
      </c>
      <c r="D691" s="7" t="s">
        <v>2404</v>
      </c>
      <c r="E691" s="7" t="s">
        <v>2405</v>
      </c>
      <c r="F691" s="18" t="s">
        <v>2403</v>
      </c>
      <c r="G691" s="7" t="s">
        <v>2584</v>
      </c>
      <c r="H691" s="85" t="s">
        <v>3803</v>
      </c>
      <c r="I691" s="85" t="s">
        <v>2718</v>
      </c>
      <c r="J691" s="85"/>
      <c r="K691" s="85" t="s">
        <v>855</v>
      </c>
      <c r="L691" s="85">
        <v>5</v>
      </c>
      <c r="M691" s="20">
        <f>Table9[[#This Row],[Rate
(Please Select from the list)]]/5</f>
        <v>1</v>
      </c>
      <c r="N691" s="77">
        <v>2.72</v>
      </c>
      <c r="O691" s="74">
        <f>Table9[[#This Row],[Score %]]*Table9[[#This Row],[Item Weight
(Please Select from the list)]]</f>
        <v>2.72</v>
      </c>
      <c r="P691" s="80">
        <v>4</v>
      </c>
      <c r="Q691" t="s">
        <v>46</v>
      </c>
      <c r="R691"/>
      <c r="S691" t="s">
        <v>57</v>
      </c>
      <c r="T691"/>
      <c r="U691" t="s">
        <v>58</v>
      </c>
      <c r="V691" t="s">
        <v>3851</v>
      </c>
      <c r="W691" s="88" t="s">
        <v>4034</v>
      </c>
    </row>
    <row r="692" spans="1:23" ht="14.4">
      <c r="A692" s="7" t="s">
        <v>1533</v>
      </c>
      <c r="B692" t="s">
        <v>1512</v>
      </c>
      <c r="C692" t="s">
        <v>2714</v>
      </c>
      <c r="D692" s="7" t="s">
        <v>2407</v>
      </c>
      <c r="E692" s="7" t="s">
        <v>2408</v>
      </c>
      <c r="F692" s="18" t="s">
        <v>2406</v>
      </c>
      <c r="G692" s="7" t="s">
        <v>2584</v>
      </c>
      <c r="H692" s="85" t="s">
        <v>3804</v>
      </c>
      <c r="I692" s="85" t="s">
        <v>2716</v>
      </c>
      <c r="J692" s="85" t="s">
        <v>3805</v>
      </c>
      <c r="K692" s="85" t="s">
        <v>16</v>
      </c>
      <c r="L692" s="85">
        <v>3</v>
      </c>
      <c r="M692" s="20">
        <f>Table9[[#This Row],[Rate
(Please Select from the list)]]/5</f>
        <v>0.6</v>
      </c>
      <c r="N692" s="77">
        <v>2.72</v>
      </c>
      <c r="O692" s="74">
        <f>Table9[[#This Row],[Score %]]*Table9[[#This Row],[Item Weight
(Please Select from the list)]]</f>
        <v>1.6320000000000001</v>
      </c>
      <c r="P692" s="80">
        <v>4</v>
      </c>
      <c r="Q692" t="s">
        <v>3852</v>
      </c>
      <c r="R692"/>
      <c r="S692" t="s">
        <v>43</v>
      </c>
      <c r="T692"/>
      <c r="U692" t="s">
        <v>44</v>
      </c>
      <c r="V692" t="s">
        <v>3825</v>
      </c>
      <c r="W692" s="88" t="s">
        <v>4034</v>
      </c>
    </row>
    <row r="693" spans="1:23" ht="14.4">
      <c r="A693" s="7" t="s">
        <v>1533</v>
      </c>
      <c r="B693" t="s">
        <v>1512</v>
      </c>
      <c r="C693" t="s">
        <v>2714</v>
      </c>
      <c r="D693" s="7" t="s">
        <v>2410</v>
      </c>
      <c r="E693" s="7" t="s">
        <v>2411</v>
      </c>
      <c r="F693" s="18" t="s">
        <v>2409</v>
      </c>
      <c r="G693" s="7" t="s">
        <v>2584</v>
      </c>
      <c r="H693" s="85" t="s">
        <v>3806</v>
      </c>
      <c r="I693" s="85" t="s">
        <v>2725</v>
      </c>
      <c r="J693" s="85" t="s">
        <v>3807</v>
      </c>
      <c r="K693" s="85" t="s">
        <v>16</v>
      </c>
      <c r="L693" s="85">
        <v>3</v>
      </c>
      <c r="M693" s="20">
        <f>Table9[[#This Row],[Rate
(Please Select from the list)]]/5</f>
        <v>0.6</v>
      </c>
      <c r="N693" s="77">
        <v>2.72</v>
      </c>
      <c r="O693" s="74">
        <f>Table9[[#This Row],[Score %]]*Table9[[#This Row],[Item Weight
(Please Select from the list)]]</f>
        <v>1.6320000000000001</v>
      </c>
      <c r="P693" s="80">
        <v>4</v>
      </c>
      <c r="Q693" t="s">
        <v>46</v>
      </c>
      <c r="R693"/>
      <c r="S693" t="s">
        <v>43</v>
      </c>
      <c r="T693"/>
      <c r="U693" t="s">
        <v>58</v>
      </c>
      <c r="V693" t="s">
        <v>3813</v>
      </c>
      <c r="W693" s="88" t="s">
        <v>4034</v>
      </c>
    </row>
    <row r="694" spans="1:23" ht="14.4">
      <c r="A694" s="7" t="s">
        <v>1533</v>
      </c>
      <c r="B694" t="s">
        <v>1512</v>
      </c>
      <c r="C694" t="s">
        <v>2714</v>
      </c>
      <c r="D694" s="7" t="s">
        <v>2413</v>
      </c>
      <c r="E694" s="7" t="s">
        <v>2414</v>
      </c>
      <c r="F694" s="18" t="s">
        <v>2412</v>
      </c>
      <c r="G694" s="7" t="s">
        <v>2584</v>
      </c>
      <c r="H694" s="85" t="s">
        <v>3808</v>
      </c>
      <c r="I694" s="85" t="s">
        <v>2748</v>
      </c>
      <c r="J694" s="85" t="s">
        <v>3809</v>
      </c>
      <c r="K694" s="85" t="s">
        <v>16</v>
      </c>
      <c r="L694" s="85">
        <v>3</v>
      </c>
      <c r="M694" s="20">
        <f>Table9[[#This Row],[Rate
(Please Select from the list)]]/5</f>
        <v>0.6</v>
      </c>
      <c r="N694" s="77">
        <v>2.72</v>
      </c>
      <c r="O694" s="74">
        <f>Table9[[#This Row],[Score %]]*Table9[[#This Row],[Item Weight
(Please Select from the list)]]</f>
        <v>1.6320000000000001</v>
      </c>
      <c r="P694" s="80">
        <v>4</v>
      </c>
      <c r="Q694" t="s">
        <v>3852</v>
      </c>
      <c r="R694"/>
      <c r="S694" t="s">
        <v>43</v>
      </c>
      <c r="T694"/>
      <c r="U694" t="s">
        <v>44</v>
      </c>
      <c r="V694" t="s">
        <v>3839</v>
      </c>
      <c r="W694" s="88" t="s">
        <v>4034</v>
      </c>
    </row>
    <row r="695" spans="1:23" ht="14.4">
      <c r="A695" s="17" t="s">
        <v>1533</v>
      </c>
      <c r="B695" t="s">
        <v>1512</v>
      </c>
      <c r="C695" t="s">
        <v>2714</v>
      </c>
      <c r="D695" s="18" t="s">
        <v>2413</v>
      </c>
      <c r="E695" s="18" t="s">
        <v>2414</v>
      </c>
      <c r="F695" s="18" t="s">
        <v>2415</v>
      </c>
      <c r="G695" s="7" t="s">
        <v>2584</v>
      </c>
      <c r="H695" s="85" t="s">
        <v>3810</v>
      </c>
      <c r="I695" s="85" t="s">
        <v>2728</v>
      </c>
      <c r="J695" s="85" t="s">
        <v>3811</v>
      </c>
      <c r="K695" s="85" t="s">
        <v>16</v>
      </c>
      <c r="L695" s="85">
        <v>3</v>
      </c>
      <c r="M695" s="20">
        <f>Table9[[#This Row],[Rate
(Please Select from the list)]]/5</f>
        <v>0.6</v>
      </c>
      <c r="N695" s="77">
        <v>2.72</v>
      </c>
      <c r="O695" s="74">
        <f>Table9[[#This Row],[Score %]]*Table9[[#This Row],[Item Weight
(Please Select from the list)]]</f>
        <v>1.6320000000000001</v>
      </c>
      <c r="P695" s="80">
        <v>4</v>
      </c>
      <c r="Q695" t="s">
        <v>46</v>
      </c>
      <c r="R695" t="s">
        <v>4033</v>
      </c>
      <c r="S695" t="s">
        <v>29</v>
      </c>
      <c r="T695" s="86">
        <v>45421</v>
      </c>
      <c r="U695" t="s">
        <v>14</v>
      </c>
      <c r="V695" t="s">
        <v>3813</v>
      </c>
      <c r="W695" s="88" t="s">
        <v>4034</v>
      </c>
    </row>
  </sheetData>
  <sheetProtection algorithmName="SHA-512" hashValue="wgVd6LjKsTLtkrqZ5CBFlsmrl5g3txKmGOsPyKPyCrwHh/QTerWRi++slBSVJAhygNVgSe6AR4WddVg7ThHs2g==" saltValue="pTNqyF5sLwZN84eEKw2qTQ==" spinCount="100000" sheet="1" objects="1" scenarios="1"/>
  <protectedRanges>
    <protectedRange sqref="Q2:V695 B2:C695 G2:L695" name="Range3"/>
  </protectedRanges>
  <conditionalFormatting sqref="U1">
    <cfRule type="containsText" dxfId="2" priority="1" operator="containsText" text="Verified">
      <formula>NOT(ISERROR(SEARCH("Verified",U1)))</formula>
    </cfRule>
    <cfRule type="containsText" dxfId="1" priority="2" operator="containsText" text="Closed">
      <formula>NOT(ISERROR(SEARCH("Closed",U1)))</formula>
    </cfRule>
    <cfRule type="containsText" dxfId="0" priority="3" operator="containsText" text="In Progress">
      <formula>NOT(ISERROR(SEARCH("In Progress",U1)))</formula>
    </cfRule>
  </conditionalFormatting>
  <pageMargins left="0" right="0" top="0" bottom="0" header="0" footer="0"/>
  <pageSetup scale="34" fitToHeight="0" orientation="landscape" r:id="rId1"/>
  <tableParts count="1">
    <tablePart r:id="rId2"/>
  </tableParts>
  <extLst>
    <ext xmlns:x14="http://schemas.microsoft.com/office/spreadsheetml/2009/9/main" uri="{CCE6A557-97BC-4b89-ADB6-D9C93CAAB3DF}">
      <x14:dataValidations xmlns:xm="http://schemas.microsoft.com/office/excel/2006/main" count="47">
        <x14:dataValidation type="list" allowBlank="1" showInputMessage="1" showErrorMessage="1" xr:uid="{A1472D9E-41DA-4D9A-A8CD-36C5DEC62B38}">
          <x14:formula1>
            <xm:f>Lists!$A$2:$A$5</xm:f>
          </x14:formula1>
          <xm:sqref>S2:S695</xm:sqref>
        </x14:dataValidation>
        <x14:dataValidation type="list" allowBlank="1" showInputMessage="1" showErrorMessage="1" xr:uid="{081E009D-24B2-4843-A15A-E1751F62AFAD}">
          <x14:formula1>
            <xm:f>Lists!$C$2:$C$6</xm:f>
          </x14:formula1>
          <xm:sqref>Q2:Q695</xm:sqref>
        </x14:dataValidation>
        <x14:dataValidation type="list" allowBlank="1" showInputMessage="1" showErrorMessage="1" xr:uid="{7F120255-4F87-4534-B850-40B566C73C8D}">
          <x14:formula1>
            <xm:f>Lists!$B$2:$B$6</xm:f>
          </x14:formula1>
          <xm:sqref>U2:U695</xm:sqref>
        </x14:dataValidation>
        <x14:dataValidation type="list" allowBlank="1" showInputMessage="1" showErrorMessage="1" xr:uid="{4C91F3FB-F9CF-43C0-8165-4A86405661D9}">
          <x14:formula1>
            <xm:f>Lists!$E$2:$E$7</xm:f>
          </x14:formula1>
          <xm:sqref>L2:L695 P2:P694</xm:sqref>
        </x14:dataValidation>
        <x14:dataValidation type="list" allowBlank="1" showInputMessage="1" showErrorMessage="1" xr:uid="{3E6550BF-CAEF-44DA-8AED-EF7056B6319B}">
          <x14:formula1>
            <xm:f>Lists!$D$2:$D$7</xm:f>
          </x14:formula1>
          <xm:sqref>K2:K695</xm:sqref>
        </x14:dataValidation>
        <x14:dataValidation type="list" allowBlank="1" showInputMessage="1" showErrorMessage="1" xr:uid="{D2DB2FAD-678D-4529-9EA6-72023DA3246B}">
          <x14:formula1>
            <xm:f>Lists!$B$10:$B$18</xm:f>
          </x14:formula1>
          <xm:sqref>B2:B36</xm:sqref>
        </x14:dataValidation>
        <x14:dataValidation type="list" allowBlank="1" showInputMessage="1" showErrorMessage="1" xr:uid="{F1235D84-346B-4D2C-8C2E-11C176E61694}">
          <x14:formula1>
            <xm:f>Lists!$B$42:$B$50</xm:f>
          </x14:formula1>
          <xm:sqref>B37:B66</xm:sqref>
        </x14:dataValidation>
        <x14:dataValidation type="list" allowBlank="1" showInputMessage="1" showErrorMessage="1" xr:uid="{340D9C22-AA9A-4337-BD62-7E0B62AA287F}">
          <x14:formula1>
            <xm:f>Lists!$B$61:$B$65</xm:f>
          </x14:formula1>
          <xm:sqref>B67:B71</xm:sqref>
        </x14:dataValidation>
        <x14:dataValidation type="list" allowBlank="1" showInputMessage="1" showErrorMessage="1" xr:uid="{B4EA66AC-F3B3-439E-BE12-E7841171EB81}">
          <x14:formula1>
            <xm:f>Lists!$B$68:$B$75</xm:f>
          </x14:formula1>
          <xm:sqref>B72:B106</xm:sqref>
        </x14:dataValidation>
        <x14:dataValidation type="list" allowBlank="1" showInputMessage="1" showErrorMessage="1" xr:uid="{8C9FBA61-E6C8-4E28-A0A7-E00BC338F91F}">
          <x14:formula1>
            <xm:f>Lists!$B$88:$B$96</xm:f>
          </x14:formula1>
          <xm:sqref>B107:B141</xm:sqref>
        </x14:dataValidation>
        <x14:dataValidation type="list" allowBlank="1" showInputMessage="1" showErrorMessage="1" xr:uid="{EA5C1404-35AB-4651-A36C-7214C3BAFC26}">
          <x14:formula1>
            <xm:f>Lists!$B$107:$B$109</xm:f>
          </x14:formula1>
          <xm:sqref>B142:B176</xm:sqref>
        </x14:dataValidation>
        <x14:dataValidation type="list" allowBlank="1" showInputMessage="1" showErrorMessage="1" xr:uid="{9850EAD3-81D2-4FE5-86DD-315DFCAF7897}">
          <x14:formula1>
            <xm:f>Lists!$B$114:$B$115</xm:f>
          </x14:formula1>
          <xm:sqref>B177:B211</xm:sqref>
        </x14:dataValidation>
        <x14:dataValidation type="list" allowBlank="1" showInputMessage="1" showErrorMessage="1" xr:uid="{686A5EC9-096D-4D60-AD33-CD5D7DCDA7E8}">
          <x14:formula1>
            <xm:f>Lists!$B$127:$B$132</xm:f>
          </x14:formula1>
          <xm:sqref>B212:B246</xm:sqref>
        </x14:dataValidation>
        <x14:dataValidation type="list" allowBlank="1" showInputMessage="1" showErrorMessage="1" xr:uid="{DAD23006-D200-409C-84AB-06FB975B1A3F}">
          <x14:formula1>
            <xm:f>Lists!$B$145:$B$153</xm:f>
          </x14:formula1>
          <xm:sqref>B247:B274</xm:sqref>
        </x14:dataValidation>
        <x14:dataValidation type="list" allowBlank="1" showInputMessage="1" showErrorMessage="1" xr:uid="{45AC38A3-4A03-4910-A50A-00D651EE17EE}">
          <x14:formula1>
            <xm:f>Lists!$B$165:$B$170</xm:f>
          </x14:formula1>
          <xm:sqref>B275:B309</xm:sqref>
        </x14:dataValidation>
        <x14:dataValidation type="list" allowBlank="1" showInputMessage="1" showErrorMessage="1" xr:uid="{C689C68A-0626-434E-9150-A314A6F41D3D}">
          <x14:formula1>
            <xm:f>Lists!$B$178:$B$183</xm:f>
          </x14:formula1>
          <xm:sqref>B310:B344</xm:sqref>
        </x14:dataValidation>
        <x14:dataValidation type="list" allowBlank="1" showInputMessage="1" showErrorMessage="1" xr:uid="{95F8BD19-BE69-427E-BF67-7983043AE4F7}">
          <x14:formula1>
            <xm:f>Lists!$B$196:$B$204</xm:f>
          </x14:formula1>
          <xm:sqref>B345:B379</xm:sqref>
        </x14:dataValidation>
        <x14:dataValidation type="list" allowBlank="1" showInputMessage="1" showErrorMessage="1" xr:uid="{6995A496-C004-4A11-B18B-69387A63292F}">
          <x14:formula1>
            <xm:f>Lists!$B$207:$B$217</xm:f>
          </x14:formula1>
          <xm:sqref>B380:B414</xm:sqref>
        </x14:dataValidation>
        <x14:dataValidation type="list" allowBlank="1" showInputMessage="1" showErrorMessage="1" xr:uid="{A4A647A1-54F7-4CA9-863F-C38FFF4A7C5A}">
          <x14:formula1>
            <xm:f>Lists!$B$219:$B$227</xm:f>
          </x14:formula1>
          <xm:sqref>B415:B449</xm:sqref>
        </x14:dataValidation>
        <x14:dataValidation type="list" allowBlank="1" showInputMessage="1" showErrorMessage="1" xr:uid="{93FFFE04-178D-4902-9C51-E3C721082C08}">
          <x14:formula1>
            <xm:f>Lists!$B$228:$B$235</xm:f>
          </x14:formula1>
          <xm:sqref>B450:B484</xm:sqref>
        </x14:dataValidation>
        <x14:dataValidation type="list" allowBlank="1" showInputMessage="1" showErrorMessage="1" xr:uid="{7206C24C-667B-4AE1-A66F-DB55B30B93B0}">
          <x14:formula1>
            <xm:f>Lists!$B$236:$B$248</xm:f>
          </x14:formula1>
          <xm:sqref>B485:B554</xm:sqref>
        </x14:dataValidation>
        <x14:dataValidation type="list" allowBlank="1" showInputMessage="1" showErrorMessage="1" xr:uid="{DDE6A573-6875-43C0-B969-8C89CB30187F}">
          <x14:formula1>
            <xm:f>Lists!$B$249:$B$257</xm:f>
          </x14:formula1>
          <xm:sqref>B555:B589</xm:sqref>
        </x14:dataValidation>
        <x14:dataValidation type="list" allowBlank="1" showInputMessage="1" showErrorMessage="1" xr:uid="{0AE21E52-47A5-4BCE-A716-F1A01869EED8}">
          <x14:formula1>
            <xm:f>Lists!$B$258:$B$264</xm:f>
          </x14:formula1>
          <xm:sqref>B590:B624</xm:sqref>
        </x14:dataValidation>
        <x14:dataValidation type="list" allowBlank="1" showInputMessage="1" showErrorMessage="1" xr:uid="{1CA6A280-6888-4A30-9188-7E977A298E2B}">
          <x14:formula1>
            <xm:f>Lists!$B$265:$B$272</xm:f>
          </x14:formula1>
          <xm:sqref>B625:B659</xm:sqref>
        </x14:dataValidation>
        <x14:dataValidation type="list" allowBlank="1" showInputMessage="1" showErrorMessage="1" xr:uid="{8F6564E7-25E9-41E1-A7A4-CF679FCC32BC}">
          <x14:formula1>
            <xm:f>Lists!$B$273:$B$277</xm:f>
          </x14:formula1>
          <xm:sqref>B660:B695</xm:sqref>
        </x14:dataValidation>
        <x14:dataValidation type="list" allowBlank="1" showInputMessage="1" showErrorMessage="1" xr:uid="{5623549D-EF3A-4EA8-AFDC-3B9AF3C363FA}">
          <x14:formula1>
            <xm:f>Lists!$C$10:$C$41</xm:f>
          </x14:formula1>
          <xm:sqref>C2:C36</xm:sqref>
        </x14:dataValidation>
        <x14:dataValidation type="list" allowBlank="1" showInputMessage="1" showErrorMessage="1" xr:uid="{CE263D0C-513A-4BFB-9A4C-4FB1F4EC981F}">
          <x14:formula1>
            <xm:f>Lists!$C$42:$C$60</xm:f>
          </x14:formula1>
          <xm:sqref>C37:C66</xm:sqref>
        </x14:dataValidation>
        <x14:dataValidation type="list" allowBlank="1" showInputMessage="1" showErrorMessage="1" xr:uid="{671A1E5C-EBED-4376-8385-9908556726E6}">
          <x14:formula1>
            <xm:f>Lists!$C$61:$C$67</xm:f>
          </x14:formula1>
          <xm:sqref>C67:C71</xm:sqref>
        </x14:dataValidation>
        <x14:dataValidation type="list" allowBlank="1" showInputMessage="1" showErrorMessage="1" xr:uid="{14F93B56-C094-49DD-AEC0-0E76BD48803C}">
          <x14:formula1>
            <xm:f>Lists!$C$68:$C$87</xm:f>
          </x14:formula1>
          <xm:sqref>C72:C106</xm:sqref>
        </x14:dataValidation>
        <x14:dataValidation type="list" allowBlank="1" showInputMessage="1" showErrorMessage="1" xr:uid="{671997BC-251D-4CD5-89E9-842D082BA47B}">
          <x14:formula1>
            <xm:f>Lists!$C$88:$C$106</xm:f>
          </x14:formula1>
          <xm:sqref>C107:C141</xm:sqref>
        </x14:dataValidation>
        <x14:dataValidation type="list" allowBlank="1" showInputMessage="1" showErrorMessage="1" xr:uid="{3479CE2C-4E43-473E-88EA-D9F1366E55C6}">
          <x14:formula1>
            <xm:f>Lists!$C$107:$C$113</xm:f>
          </x14:formula1>
          <xm:sqref>C142:C176</xm:sqref>
        </x14:dataValidation>
        <x14:dataValidation type="list" allowBlank="1" showInputMessage="1" showErrorMessage="1" xr:uid="{D9950922-5308-4D8B-8BBC-A4C507F8FD9B}">
          <x14:formula1>
            <xm:f>Lists!$C$114:$C$126</xm:f>
          </x14:formula1>
          <xm:sqref>C177:C211</xm:sqref>
        </x14:dataValidation>
        <x14:dataValidation type="list" allowBlank="1" showInputMessage="1" showErrorMessage="1" xr:uid="{54F0AF26-6933-48D7-89A6-52FCEF50924C}">
          <x14:formula1>
            <xm:f>Lists!$C$127:$C$144</xm:f>
          </x14:formula1>
          <xm:sqref>C212:C246</xm:sqref>
        </x14:dataValidation>
        <x14:dataValidation type="list" allowBlank="1" showInputMessage="1" showErrorMessage="1" xr:uid="{3DDD29A7-7309-4676-AAE8-1B5700744382}">
          <x14:formula1>
            <xm:f>Lists!$C$145:$C$164</xm:f>
          </x14:formula1>
          <xm:sqref>C247:C274</xm:sqref>
        </x14:dataValidation>
        <x14:dataValidation type="list" allowBlank="1" showInputMessage="1" showErrorMessage="1" xr:uid="{9C4AF505-4615-411B-A5ED-AB9EE24F70E6}">
          <x14:formula1>
            <xm:f>Lists!$C$165:$C$177</xm:f>
          </x14:formula1>
          <xm:sqref>C275:C309</xm:sqref>
        </x14:dataValidation>
        <x14:dataValidation type="list" allowBlank="1" showInputMessage="1" showErrorMessage="1" xr:uid="{2C3EDDB0-B79F-4935-A6E2-2E0F134C5B9A}">
          <x14:formula1>
            <xm:f>Lists!$C$178:$C$195</xm:f>
          </x14:formula1>
          <xm:sqref>C310:C344</xm:sqref>
        </x14:dataValidation>
        <x14:dataValidation type="list" allowBlank="1" showInputMessage="1" showErrorMessage="1" xr:uid="{3D1F0B98-6572-4857-8582-48D5ABED1316}">
          <x14:formula1>
            <xm:f>Lists!$C$196:$C$206</xm:f>
          </x14:formula1>
          <xm:sqref>C345:C379</xm:sqref>
        </x14:dataValidation>
        <x14:dataValidation type="list" allowBlank="1" showInputMessage="1" showErrorMessage="1" xr:uid="{ACB3DDE3-2198-4231-AA53-445B6805769E}">
          <x14:formula1>
            <xm:f>Lists!$C$207:$C$218</xm:f>
          </x14:formula1>
          <xm:sqref>C380:C414</xm:sqref>
        </x14:dataValidation>
        <x14:dataValidation type="list" allowBlank="1" showInputMessage="1" showErrorMessage="1" xr:uid="{58085B20-4099-47AB-8FF3-34078D676A70}">
          <x14:formula1>
            <xm:f>Lists!$C$219:$C$227</xm:f>
          </x14:formula1>
          <xm:sqref>C415:C449</xm:sqref>
        </x14:dataValidation>
        <x14:dataValidation type="list" allowBlank="1" showInputMessage="1" showErrorMessage="1" xr:uid="{B32FC2A9-12B6-4933-800A-7C63D597FC9F}">
          <x14:formula1>
            <xm:f>Lists!$C$228:$C$235</xm:f>
          </x14:formula1>
          <xm:sqref>C450:C484</xm:sqref>
        </x14:dataValidation>
        <x14:dataValidation type="list" allowBlank="1" showInputMessage="1" showErrorMessage="1" xr:uid="{8D82D6C3-9FF5-452B-9E1C-54BABAF2DD45}">
          <x14:formula1>
            <xm:f>Lists!$C$236:$C$245</xm:f>
          </x14:formula1>
          <xm:sqref>C485:C519</xm:sqref>
        </x14:dataValidation>
        <x14:dataValidation type="list" allowBlank="1" showInputMessage="1" showErrorMessage="1" xr:uid="{204780D9-FCE3-42A7-A41A-39A6E5DE96DC}">
          <x14:formula1>
            <xm:f>Lists!$C$246:$C$248</xm:f>
          </x14:formula1>
          <xm:sqref>C520:C554</xm:sqref>
        </x14:dataValidation>
        <x14:dataValidation type="list" allowBlank="1" showInputMessage="1" showErrorMessage="1" xr:uid="{726B5835-2A7D-414B-BF36-C09892663965}">
          <x14:formula1>
            <xm:f>Lists!$C$249:$C$257</xm:f>
          </x14:formula1>
          <xm:sqref>C555:C589</xm:sqref>
        </x14:dataValidation>
        <x14:dataValidation type="list" allowBlank="1" showInputMessage="1" showErrorMessage="1" xr:uid="{08D70942-CB66-4D00-B07C-40C3F3761CF1}">
          <x14:formula1>
            <xm:f>Lists!$C$258:$C$264</xm:f>
          </x14:formula1>
          <xm:sqref>C590:C624</xm:sqref>
        </x14:dataValidation>
        <x14:dataValidation type="list" allowBlank="1" showInputMessage="1" showErrorMessage="1" xr:uid="{7244BA4E-60E4-4B55-B1B2-7A820665470C}">
          <x14:formula1>
            <xm:f>Lists!$C$265:$C$272</xm:f>
          </x14:formula1>
          <xm:sqref>C625:C659</xm:sqref>
        </x14:dataValidation>
        <x14:dataValidation type="list" allowBlank="1" showInputMessage="1" showErrorMessage="1" xr:uid="{BE2B1121-B405-4E4D-B810-5BE14AF019A8}">
          <x14:formula1>
            <xm:f>Lists!$C$273:$C$277</xm:f>
          </x14:formula1>
          <xm:sqref>C660:C695</xm:sqref>
        </x14:dataValidation>
        <x14:dataValidation type="list" allowBlank="1" showInputMessage="1" showErrorMessage="1" xr:uid="{4059CBD7-D59E-4999-A87E-4E8547A59399}">
          <x14:formula1>
            <xm:f>Lists!$L$2:$L$17</xm:f>
          </x14:formula1>
          <xm:sqref>G2:G695</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7">
    <pageSetUpPr fitToPage="1"/>
  </sheetPr>
  <dimension ref="A1:M81"/>
  <sheetViews>
    <sheetView view="pageBreakPreview" zoomScale="60" zoomScaleNormal="100" workbookViewId="0">
      <pane ySplit="1" topLeftCell="A50" activePane="bottomLeft" state="frozen"/>
      <selection pane="bottomLeft" activeCell="M54" sqref="M54"/>
    </sheetView>
  </sheetViews>
  <sheetFormatPr defaultRowHeight="14.4"/>
  <cols>
    <col min="1" max="13" width="22" customWidth="1"/>
  </cols>
  <sheetData>
    <row r="1" spans="1:13" ht="28.05" customHeight="1">
      <c r="A1" s="10" t="s">
        <v>1338</v>
      </c>
      <c r="B1" s="10" t="s">
        <v>1339</v>
      </c>
      <c r="C1" s="10" t="s">
        <v>139</v>
      </c>
      <c r="D1" s="10" t="s">
        <v>1340</v>
      </c>
      <c r="E1" s="10" t="s">
        <v>1341</v>
      </c>
      <c r="F1" s="10" t="s">
        <v>1342</v>
      </c>
      <c r="G1" s="10" t="s">
        <v>1343</v>
      </c>
      <c r="H1" s="10" t="s">
        <v>1344</v>
      </c>
      <c r="I1" s="10" t="s">
        <v>146</v>
      </c>
      <c r="J1" s="10" t="s">
        <v>1345</v>
      </c>
      <c r="K1" s="10" t="s">
        <v>133</v>
      </c>
      <c r="L1" s="10" t="s">
        <v>1346</v>
      </c>
      <c r="M1" s="10" t="s">
        <v>1347</v>
      </c>
    </row>
    <row r="2" spans="1:13">
      <c r="A2" s="75" t="s">
        <v>4035</v>
      </c>
      <c r="B2" s="75" t="s">
        <v>4036</v>
      </c>
      <c r="C2" s="75" t="s">
        <v>1472</v>
      </c>
      <c r="D2" s="75" t="s">
        <v>4037</v>
      </c>
      <c r="E2" s="75" t="s">
        <v>4038</v>
      </c>
      <c r="F2" s="75" t="s">
        <v>4039</v>
      </c>
      <c r="G2" s="75" t="s">
        <v>4040</v>
      </c>
      <c r="H2" s="75" t="s">
        <v>4041</v>
      </c>
      <c r="I2" s="75" t="s">
        <v>4042</v>
      </c>
      <c r="J2" s="75" t="s">
        <v>4043</v>
      </c>
      <c r="K2" s="75" t="s">
        <v>4044</v>
      </c>
      <c r="L2" s="75" t="s">
        <v>4045</v>
      </c>
      <c r="M2" s="89">
        <v>45999</v>
      </c>
    </row>
    <row r="3" spans="1:13">
      <c r="A3" s="75" t="s">
        <v>4046</v>
      </c>
      <c r="B3" s="75" t="s">
        <v>4047</v>
      </c>
      <c r="C3" s="75" t="s">
        <v>1472</v>
      </c>
      <c r="D3" s="75" t="s">
        <v>4048</v>
      </c>
      <c r="E3" s="75" t="s">
        <v>4049</v>
      </c>
      <c r="F3" s="75" t="s">
        <v>4050</v>
      </c>
      <c r="G3" s="75" t="s">
        <v>4051</v>
      </c>
      <c r="H3" s="75" t="s">
        <v>4052</v>
      </c>
      <c r="I3" s="75" t="s">
        <v>4042</v>
      </c>
      <c r="J3" s="75" t="s">
        <v>4053</v>
      </c>
      <c r="K3" s="75" t="s">
        <v>4054</v>
      </c>
      <c r="L3" s="75" t="s">
        <v>4045</v>
      </c>
      <c r="M3" s="89">
        <v>46000</v>
      </c>
    </row>
    <row r="4" spans="1:13">
      <c r="A4" s="75" t="s">
        <v>4055</v>
      </c>
      <c r="B4" s="75" t="s">
        <v>4056</v>
      </c>
      <c r="C4" s="75" t="s">
        <v>1472</v>
      </c>
      <c r="D4" s="75" t="s">
        <v>4048</v>
      </c>
      <c r="E4" s="75" t="s">
        <v>4057</v>
      </c>
      <c r="F4" s="75" t="s">
        <v>4058</v>
      </c>
      <c r="G4" s="75" t="s">
        <v>4059</v>
      </c>
      <c r="H4" s="75" t="s">
        <v>4060</v>
      </c>
      <c r="I4" s="75" t="s">
        <v>4042</v>
      </c>
      <c r="J4" s="75" t="s">
        <v>4061</v>
      </c>
      <c r="K4" s="75" t="s">
        <v>4062</v>
      </c>
      <c r="L4" s="75" t="s">
        <v>4045</v>
      </c>
      <c r="M4" s="89">
        <v>46001</v>
      </c>
    </row>
    <row r="5" spans="1:13">
      <c r="A5" s="75" t="s">
        <v>4063</v>
      </c>
      <c r="B5" s="75" t="s">
        <v>4064</v>
      </c>
      <c r="C5" s="75" t="s">
        <v>1472</v>
      </c>
      <c r="D5" s="75" t="s">
        <v>4065</v>
      </c>
      <c r="E5" s="75" t="s">
        <v>4066</v>
      </c>
      <c r="F5" s="75" t="s">
        <v>4067</v>
      </c>
      <c r="G5" s="75" t="s">
        <v>4068</v>
      </c>
      <c r="H5" s="75" t="s">
        <v>4069</v>
      </c>
      <c r="I5" s="75" t="s">
        <v>4070</v>
      </c>
      <c r="J5" s="75" t="s">
        <v>4071</v>
      </c>
      <c r="K5" s="75" t="s">
        <v>4072</v>
      </c>
      <c r="L5" s="75" t="s">
        <v>59</v>
      </c>
      <c r="M5" s="89">
        <v>46002</v>
      </c>
    </row>
    <row r="6" spans="1:13">
      <c r="A6" s="75" t="s">
        <v>4073</v>
      </c>
      <c r="B6" s="75" t="s">
        <v>4074</v>
      </c>
      <c r="C6" s="75" t="s">
        <v>1472</v>
      </c>
      <c r="D6" s="75" t="s">
        <v>4048</v>
      </c>
      <c r="E6" s="75" t="s">
        <v>4075</v>
      </c>
      <c r="F6" s="75" t="s">
        <v>4067</v>
      </c>
      <c r="G6" s="75" t="s">
        <v>4076</v>
      </c>
      <c r="H6" s="75" t="s">
        <v>4077</v>
      </c>
      <c r="I6" s="75" t="s">
        <v>4042</v>
      </c>
      <c r="J6" s="75" t="s">
        <v>4078</v>
      </c>
      <c r="K6" s="75" t="s">
        <v>4079</v>
      </c>
      <c r="L6" s="75" t="s">
        <v>59</v>
      </c>
      <c r="M6" s="89">
        <v>46003</v>
      </c>
    </row>
    <row r="7" spans="1:13">
      <c r="A7" s="75" t="s">
        <v>4080</v>
      </c>
      <c r="B7" s="75" t="s">
        <v>4081</v>
      </c>
      <c r="C7" s="75" t="s">
        <v>1472</v>
      </c>
      <c r="D7" s="75" t="s">
        <v>4082</v>
      </c>
      <c r="E7" s="75" t="s">
        <v>855</v>
      </c>
      <c r="F7" s="75" t="s">
        <v>4083</v>
      </c>
      <c r="G7" s="75" t="s">
        <v>4084</v>
      </c>
      <c r="H7" s="75" t="s">
        <v>4085</v>
      </c>
      <c r="I7" s="75" t="s">
        <v>4042</v>
      </c>
      <c r="J7" s="75" t="s">
        <v>4086</v>
      </c>
      <c r="K7" s="75" t="s">
        <v>4087</v>
      </c>
      <c r="L7" s="75" t="s">
        <v>4045</v>
      </c>
      <c r="M7" s="89">
        <v>46004</v>
      </c>
    </row>
    <row r="8" spans="1:13">
      <c r="A8" s="75" t="s">
        <v>4088</v>
      </c>
      <c r="B8" s="75" t="s">
        <v>4089</v>
      </c>
      <c r="C8" s="75" t="s">
        <v>1472</v>
      </c>
      <c r="D8" s="75" t="s">
        <v>4037</v>
      </c>
      <c r="E8" s="75" t="s">
        <v>4090</v>
      </c>
      <c r="F8" s="75" t="s">
        <v>4091</v>
      </c>
      <c r="G8" s="75" t="s">
        <v>4092</v>
      </c>
      <c r="H8" s="75" t="s">
        <v>4093</v>
      </c>
      <c r="I8" s="75" t="s">
        <v>4070</v>
      </c>
      <c r="J8" s="75" t="s">
        <v>4094</v>
      </c>
      <c r="K8" s="75" t="s">
        <v>4095</v>
      </c>
      <c r="L8" s="75" t="s">
        <v>4045</v>
      </c>
      <c r="M8" s="89">
        <v>46005</v>
      </c>
    </row>
    <row r="9" spans="1:13">
      <c r="A9" s="75" t="s">
        <v>4096</v>
      </c>
      <c r="B9" s="75" t="s">
        <v>4097</v>
      </c>
      <c r="C9" s="75" t="s">
        <v>1472</v>
      </c>
      <c r="D9" s="75" t="s">
        <v>4048</v>
      </c>
      <c r="E9" s="75" t="s">
        <v>4098</v>
      </c>
      <c r="F9" s="75" t="s">
        <v>4099</v>
      </c>
      <c r="G9" s="75" t="s">
        <v>4100</v>
      </c>
      <c r="H9" s="75" t="s">
        <v>4101</v>
      </c>
      <c r="I9" s="75" t="s">
        <v>4042</v>
      </c>
      <c r="J9" s="75" t="s">
        <v>4102</v>
      </c>
      <c r="K9" s="75" t="s">
        <v>4103</v>
      </c>
      <c r="L9" s="75" t="s">
        <v>4104</v>
      </c>
      <c r="M9" s="89">
        <v>46006</v>
      </c>
    </row>
    <row r="10" spans="1:13">
      <c r="A10" s="75" t="s">
        <v>4105</v>
      </c>
      <c r="B10" s="75" t="s">
        <v>4106</v>
      </c>
      <c r="C10" s="75" t="s">
        <v>1472</v>
      </c>
      <c r="D10" s="75" t="s">
        <v>4037</v>
      </c>
      <c r="E10" s="75" t="s">
        <v>4107</v>
      </c>
      <c r="F10" s="75" t="s">
        <v>4108</v>
      </c>
      <c r="G10" s="75" t="s">
        <v>4109</v>
      </c>
      <c r="H10" s="75" t="s">
        <v>4110</v>
      </c>
      <c r="I10" s="75" t="s">
        <v>4070</v>
      </c>
      <c r="J10" s="75" t="s">
        <v>4111</v>
      </c>
      <c r="K10" s="75" t="s">
        <v>4112</v>
      </c>
      <c r="L10" s="75" t="s">
        <v>4113</v>
      </c>
      <c r="M10" s="89">
        <v>46007</v>
      </c>
    </row>
    <row r="11" spans="1:13">
      <c r="A11" s="75" t="s">
        <v>4114</v>
      </c>
      <c r="B11" s="75" t="s">
        <v>4115</v>
      </c>
      <c r="C11" s="75" t="s">
        <v>1472</v>
      </c>
      <c r="D11" s="75" t="s">
        <v>4082</v>
      </c>
      <c r="E11" s="75" t="s">
        <v>4116</v>
      </c>
      <c r="F11" s="75" t="s">
        <v>4117</v>
      </c>
      <c r="G11" s="75" t="s">
        <v>4118</v>
      </c>
      <c r="H11" s="75" t="s">
        <v>4119</v>
      </c>
      <c r="I11" s="75" t="s">
        <v>4070</v>
      </c>
      <c r="J11" s="75" t="s">
        <v>4120</v>
      </c>
      <c r="K11" s="75" t="s">
        <v>4121</v>
      </c>
      <c r="L11" s="75" t="s">
        <v>4104</v>
      </c>
      <c r="M11" s="89">
        <v>46008</v>
      </c>
    </row>
    <row r="12" spans="1:13">
      <c r="A12" s="75" t="s">
        <v>4122</v>
      </c>
      <c r="B12" s="75" t="s">
        <v>4123</v>
      </c>
      <c r="C12" s="75" t="s">
        <v>17</v>
      </c>
      <c r="D12" s="75" t="s">
        <v>4124</v>
      </c>
      <c r="E12" s="75" t="s">
        <v>4125</v>
      </c>
      <c r="F12" s="75" t="s">
        <v>4126</v>
      </c>
      <c r="G12" s="75" t="s">
        <v>4127</v>
      </c>
      <c r="H12" s="75" t="s">
        <v>4128</v>
      </c>
      <c r="I12" s="75" t="s">
        <v>4042</v>
      </c>
      <c r="J12" s="75" t="s">
        <v>4129</v>
      </c>
      <c r="K12" s="75" t="s">
        <v>4130</v>
      </c>
      <c r="L12" s="75" t="s">
        <v>4045</v>
      </c>
      <c r="M12" s="89">
        <v>46009</v>
      </c>
    </row>
    <row r="13" spans="1:13">
      <c r="A13" s="75" t="s">
        <v>4131</v>
      </c>
      <c r="B13" s="75" t="s">
        <v>4132</v>
      </c>
      <c r="C13" s="75" t="s">
        <v>17</v>
      </c>
      <c r="D13" s="75" t="s">
        <v>4133</v>
      </c>
      <c r="E13" s="75" t="s">
        <v>4134</v>
      </c>
      <c r="F13" s="75" t="s">
        <v>4135</v>
      </c>
      <c r="G13" s="75" t="s">
        <v>4136</v>
      </c>
      <c r="H13" s="75" t="s">
        <v>4137</v>
      </c>
      <c r="I13" s="75" t="s">
        <v>4042</v>
      </c>
      <c r="J13" s="75" t="s">
        <v>4138</v>
      </c>
      <c r="K13" s="75" t="s">
        <v>4139</v>
      </c>
      <c r="L13" s="75" t="s">
        <v>4113</v>
      </c>
      <c r="M13" s="89">
        <v>46010</v>
      </c>
    </row>
    <row r="14" spans="1:13">
      <c r="A14" s="75" t="s">
        <v>4140</v>
      </c>
      <c r="B14" s="75" t="s">
        <v>4141</v>
      </c>
      <c r="C14" s="75" t="s">
        <v>17</v>
      </c>
      <c r="D14" s="75" t="s">
        <v>4133</v>
      </c>
      <c r="E14" s="75" t="s">
        <v>4142</v>
      </c>
      <c r="F14" s="75" t="s">
        <v>4143</v>
      </c>
      <c r="G14" s="75" t="s">
        <v>4144</v>
      </c>
      <c r="H14" s="75" t="s">
        <v>4145</v>
      </c>
      <c r="I14" s="75" t="s">
        <v>4042</v>
      </c>
      <c r="J14" s="75" t="s">
        <v>4146</v>
      </c>
      <c r="K14" s="75" t="s">
        <v>4147</v>
      </c>
      <c r="L14" s="75" t="s">
        <v>59</v>
      </c>
      <c r="M14" s="89">
        <v>46011</v>
      </c>
    </row>
    <row r="15" spans="1:13">
      <c r="A15" s="75" t="s">
        <v>4148</v>
      </c>
      <c r="B15" s="75" t="s">
        <v>4149</v>
      </c>
      <c r="C15" s="75" t="s">
        <v>17</v>
      </c>
      <c r="D15" s="75" t="s">
        <v>4124</v>
      </c>
      <c r="E15" s="75" t="s">
        <v>4150</v>
      </c>
      <c r="F15" s="75" t="s">
        <v>4151</v>
      </c>
      <c r="G15" s="75" t="s">
        <v>4152</v>
      </c>
      <c r="H15" s="75" t="s">
        <v>4153</v>
      </c>
      <c r="I15" s="75" t="s">
        <v>4042</v>
      </c>
      <c r="J15" s="75" t="s">
        <v>4154</v>
      </c>
      <c r="K15" s="75" t="s">
        <v>4155</v>
      </c>
      <c r="L15" s="75" t="s">
        <v>4104</v>
      </c>
      <c r="M15" s="89">
        <v>46012</v>
      </c>
    </row>
    <row r="16" spans="1:13">
      <c r="A16" s="75" t="s">
        <v>4156</v>
      </c>
      <c r="B16" s="75" t="s">
        <v>4157</v>
      </c>
      <c r="C16" s="75" t="s">
        <v>17</v>
      </c>
      <c r="D16" s="75" t="s">
        <v>4133</v>
      </c>
      <c r="E16" s="75" t="s">
        <v>4158</v>
      </c>
      <c r="F16" s="75" t="s">
        <v>4159</v>
      </c>
      <c r="G16" s="75" t="s">
        <v>4160</v>
      </c>
      <c r="H16" s="75" t="s">
        <v>4161</v>
      </c>
      <c r="I16" s="75" t="s">
        <v>4042</v>
      </c>
      <c r="J16" s="75" t="s">
        <v>4162</v>
      </c>
      <c r="K16" s="75" t="s">
        <v>4163</v>
      </c>
      <c r="L16" s="75" t="s">
        <v>4164</v>
      </c>
      <c r="M16" s="89">
        <v>46013</v>
      </c>
    </row>
    <row r="17" spans="1:13">
      <c r="A17" s="75" t="s">
        <v>4165</v>
      </c>
      <c r="B17" s="75" t="s">
        <v>4166</v>
      </c>
      <c r="C17" s="75" t="s">
        <v>17</v>
      </c>
      <c r="D17" s="75" t="s">
        <v>4133</v>
      </c>
      <c r="E17" s="75" t="s">
        <v>4167</v>
      </c>
      <c r="F17" s="75" t="s">
        <v>4168</v>
      </c>
      <c r="G17" s="75" t="s">
        <v>4169</v>
      </c>
      <c r="H17" s="75" t="s">
        <v>4170</v>
      </c>
      <c r="I17" s="75" t="s">
        <v>4042</v>
      </c>
      <c r="J17" s="75" t="s">
        <v>4171</v>
      </c>
      <c r="K17" s="75" t="s">
        <v>4172</v>
      </c>
      <c r="L17" s="75" t="s">
        <v>4164</v>
      </c>
      <c r="M17" s="89">
        <v>46014</v>
      </c>
    </row>
    <row r="18" spans="1:13">
      <c r="A18" s="75" t="s">
        <v>4173</v>
      </c>
      <c r="B18" s="75" t="s">
        <v>4174</v>
      </c>
      <c r="C18" s="75" t="s">
        <v>17</v>
      </c>
      <c r="D18" s="75" t="s">
        <v>4133</v>
      </c>
      <c r="E18" s="75" t="s">
        <v>4175</v>
      </c>
      <c r="F18" s="75" t="s">
        <v>4176</v>
      </c>
      <c r="G18" s="75" t="s">
        <v>4177</v>
      </c>
      <c r="H18" s="75" t="s">
        <v>4178</v>
      </c>
      <c r="I18" s="75" t="s">
        <v>4042</v>
      </c>
      <c r="J18" s="75" t="s">
        <v>4179</v>
      </c>
      <c r="K18" s="75" t="s">
        <v>4180</v>
      </c>
      <c r="L18" s="75" t="s">
        <v>4164</v>
      </c>
      <c r="M18" s="89">
        <v>46015</v>
      </c>
    </row>
    <row r="19" spans="1:13">
      <c r="A19" s="75" t="s">
        <v>4181</v>
      </c>
      <c r="B19" s="75" t="s">
        <v>4182</v>
      </c>
      <c r="C19" s="75" t="s">
        <v>17</v>
      </c>
      <c r="D19" s="75" t="s">
        <v>4183</v>
      </c>
      <c r="E19" s="75" t="s">
        <v>4175</v>
      </c>
      <c r="F19" s="75" t="s">
        <v>4184</v>
      </c>
      <c r="G19" s="75" t="s">
        <v>4185</v>
      </c>
      <c r="H19" s="75" t="s">
        <v>4186</v>
      </c>
      <c r="I19" s="75" t="s">
        <v>4070</v>
      </c>
      <c r="J19" s="75" t="s">
        <v>4187</v>
      </c>
      <c r="K19" s="75" t="s">
        <v>4188</v>
      </c>
      <c r="L19" s="75" t="s">
        <v>4045</v>
      </c>
      <c r="M19" s="89">
        <v>46016</v>
      </c>
    </row>
    <row r="20" spans="1:13">
      <c r="A20" s="75" t="s">
        <v>4189</v>
      </c>
      <c r="B20" s="75" t="s">
        <v>4190</v>
      </c>
      <c r="C20" s="75" t="s">
        <v>17</v>
      </c>
      <c r="D20" s="75" t="s">
        <v>4133</v>
      </c>
      <c r="E20" s="75" t="s">
        <v>4116</v>
      </c>
      <c r="F20" s="75" t="s">
        <v>4117</v>
      </c>
      <c r="G20" s="75" t="s">
        <v>4191</v>
      </c>
      <c r="H20" s="75" t="s">
        <v>4192</v>
      </c>
      <c r="I20" s="75" t="s">
        <v>4070</v>
      </c>
      <c r="J20" s="75" t="s">
        <v>4193</v>
      </c>
      <c r="K20" s="75" t="s">
        <v>4194</v>
      </c>
      <c r="L20" s="75" t="s">
        <v>4164</v>
      </c>
      <c r="M20" s="89">
        <v>46017</v>
      </c>
    </row>
    <row r="21" spans="1:13">
      <c r="A21" s="75" t="s">
        <v>4195</v>
      </c>
      <c r="B21" s="75" t="s">
        <v>4196</v>
      </c>
      <c r="C21" s="75" t="s">
        <v>2449</v>
      </c>
      <c r="D21" s="75" t="s">
        <v>4197</v>
      </c>
      <c r="E21" s="75" t="s">
        <v>4198</v>
      </c>
      <c r="F21" s="75" t="s">
        <v>4199</v>
      </c>
      <c r="G21" s="75" t="s">
        <v>4200</v>
      </c>
      <c r="H21" s="75" t="s">
        <v>4201</v>
      </c>
      <c r="I21" s="75" t="s">
        <v>4042</v>
      </c>
      <c r="J21" s="75" t="s">
        <v>4202</v>
      </c>
      <c r="K21" s="75" t="s">
        <v>4203</v>
      </c>
      <c r="L21" s="75" t="s">
        <v>4045</v>
      </c>
      <c r="M21" s="89">
        <v>46018</v>
      </c>
    </row>
    <row r="22" spans="1:13">
      <c r="A22" s="75" t="s">
        <v>4204</v>
      </c>
      <c r="B22" s="75" t="s">
        <v>4205</v>
      </c>
      <c r="C22" s="75" t="s">
        <v>2449</v>
      </c>
      <c r="D22" s="75" t="s">
        <v>4197</v>
      </c>
      <c r="E22" s="75" t="s">
        <v>4206</v>
      </c>
      <c r="F22" s="75" t="s">
        <v>4207</v>
      </c>
      <c r="G22" s="75" t="s">
        <v>4208</v>
      </c>
      <c r="H22" s="75" t="s">
        <v>4209</v>
      </c>
      <c r="I22" s="75" t="s">
        <v>4042</v>
      </c>
      <c r="J22" s="75" t="s">
        <v>4210</v>
      </c>
      <c r="K22" s="75" t="s">
        <v>4211</v>
      </c>
      <c r="L22" s="75" t="s">
        <v>4104</v>
      </c>
      <c r="M22" s="89">
        <v>46019</v>
      </c>
    </row>
    <row r="23" spans="1:13">
      <c r="A23" s="75" t="s">
        <v>4212</v>
      </c>
      <c r="B23" s="75" t="s">
        <v>4213</v>
      </c>
      <c r="C23" s="75" t="s">
        <v>2449</v>
      </c>
      <c r="D23" s="75" t="s">
        <v>4214</v>
      </c>
      <c r="E23" s="75" t="s">
        <v>4215</v>
      </c>
      <c r="F23" s="75" t="s">
        <v>4216</v>
      </c>
      <c r="G23" s="75" t="s">
        <v>4217</v>
      </c>
      <c r="H23" s="75" t="s">
        <v>4218</v>
      </c>
      <c r="I23" s="75" t="s">
        <v>4070</v>
      </c>
      <c r="J23" s="75" t="s">
        <v>4219</v>
      </c>
      <c r="K23" s="75" t="s">
        <v>4220</v>
      </c>
      <c r="L23" s="75" t="s">
        <v>4104</v>
      </c>
      <c r="M23" s="89">
        <v>46020</v>
      </c>
    </row>
    <row r="24" spans="1:13">
      <c r="A24" s="75" t="s">
        <v>4221</v>
      </c>
      <c r="B24" s="75" t="s">
        <v>4222</v>
      </c>
      <c r="C24" s="75" t="s">
        <v>2449</v>
      </c>
      <c r="D24" s="75" t="s">
        <v>4197</v>
      </c>
      <c r="E24" s="75" t="s">
        <v>4223</v>
      </c>
      <c r="F24" s="75" t="s">
        <v>4224</v>
      </c>
      <c r="G24" s="75" t="s">
        <v>4225</v>
      </c>
      <c r="H24" s="75" t="s">
        <v>4226</v>
      </c>
      <c r="I24" s="75" t="s">
        <v>4070</v>
      </c>
      <c r="J24" s="75" t="s">
        <v>4227</v>
      </c>
      <c r="K24" s="75" t="s">
        <v>4228</v>
      </c>
      <c r="L24" s="75" t="s">
        <v>4113</v>
      </c>
      <c r="M24" s="89">
        <v>46021</v>
      </c>
    </row>
    <row r="25" spans="1:13">
      <c r="A25" s="75" t="s">
        <v>4229</v>
      </c>
      <c r="B25" s="75" t="s">
        <v>4230</v>
      </c>
      <c r="C25" s="75" t="s">
        <v>33</v>
      </c>
      <c r="D25" s="75" t="s">
        <v>4231</v>
      </c>
      <c r="E25" s="75" t="s">
        <v>4232</v>
      </c>
      <c r="F25" s="75" t="s">
        <v>4233</v>
      </c>
      <c r="G25" s="75" t="s">
        <v>4234</v>
      </c>
      <c r="H25" s="75" t="s">
        <v>4235</v>
      </c>
      <c r="I25" s="75" t="s">
        <v>4070</v>
      </c>
      <c r="J25" s="75" t="s">
        <v>4236</v>
      </c>
      <c r="K25" s="75" t="s">
        <v>4237</v>
      </c>
      <c r="L25" s="75" t="s">
        <v>4164</v>
      </c>
      <c r="M25" s="89">
        <v>46022</v>
      </c>
    </row>
    <row r="26" spans="1:13">
      <c r="A26" s="75" t="s">
        <v>4238</v>
      </c>
      <c r="B26" s="75" t="s">
        <v>4239</v>
      </c>
      <c r="C26" s="75" t="s">
        <v>33</v>
      </c>
      <c r="D26" s="75" t="s">
        <v>4240</v>
      </c>
      <c r="E26" s="75" t="s">
        <v>4241</v>
      </c>
      <c r="F26" s="75" t="s">
        <v>4242</v>
      </c>
      <c r="G26" s="75" t="s">
        <v>4243</v>
      </c>
      <c r="H26" s="75" t="s">
        <v>4244</v>
      </c>
      <c r="I26" s="75" t="s">
        <v>4042</v>
      </c>
      <c r="J26" s="75" t="s">
        <v>4245</v>
      </c>
      <c r="K26" s="75" t="s">
        <v>4246</v>
      </c>
      <c r="L26" s="75" t="s">
        <v>59</v>
      </c>
      <c r="M26" s="89">
        <v>46023</v>
      </c>
    </row>
    <row r="27" spans="1:13">
      <c r="A27" s="75" t="s">
        <v>4247</v>
      </c>
      <c r="B27" s="75" t="s">
        <v>4248</v>
      </c>
      <c r="C27" s="75" t="s">
        <v>33</v>
      </c>
      <c r="D27" s="75" t="s">
        <v>4240</v>
      </c>
      <c r="E27" s="75" t="s">
        <v>4249</v>
      </c>
      <c r="F27" s="75" t="s">
        <v>4250</v>
      </c>
      <c r="G27" s="75" t="s">
        <v>4251</v>
      </c>
      <c r="H27" s="75" t="s">
        <v>4252</v>
      </c>
      <c r="I27" s="75" t="s">
        <v>4042</v>
      </c>
      <c r="J27" s="75" t="s">
        <v>4253</v>
      </c>
      <c r="K27" s="75" t="s">
        <v>4254</v>
      </c>
      <c r="L27" s="75" t="s">
        <v>4104</v>
      </c>
      <c r="M27" s="89">
        <v>46024</v>
      </c>
    </row>
    <row r="28" spans="1:13">
      <c r="A28" s="75" t="s">
        <v>4255</v>
      </c>
      <c r="B28" s="75" t="s">
        <v>4256</v>
      </c>
      <c r="C28" s="75" t="s">
        <v>33</v>
      </c>
      <c r="D28" s="75" t="s">
        <v>4257</v>
      </c>
      <c r="E28" s="75" t="s">
        <v>4258</v>
      </c>
      <c r="F28" s="75" t="s">
        <v>4259</v>
      </c>
      <c r="G28" s="75" t="s">
        <v>4260</v>
      </c>
      <c r="H28" s="75" t="s">
        <v>4261</v>
      </c>
      <c r="I28" s="75" t="s">
        <v>4070</v>
      </c>
      <c r="J28" s="75" t="s">
        <v>4262</v>
      </c>
      <c r="K28" s="75" t="s">
        <v>4263</v>
      </c>
      <c r="L28" s="75" t="s">
        <v>4104</v>
      </c>
      <c r="M28" s="89">
        <v>46025</v>
      </c>
    </row>
    <row r="29" spans="1:13">
      <c r="A29" s="75" t="s">
        <v>4264</v>
      </c>
      <c r="B29" s="75" t="s">
        <v>4265</v>
      </c>
      <c r="C29" s="75" t="s">
        <v>33</v>
      </c>
      <c r="D29" s="75" t="s">
        <v>4266</v>
      </c>
      <c r="E29" s="75" t="s">
        <v>4267</v>
      </c>
      <c r="F29" s="75" t="s">
        <v>4268</v>
      </c>
      <c r="G29" s="75" t="s">
        <v>4269</v>
      </c>
      <c r="H29" s="75" t="s">
        <v>4270</v>
      </c>
      <c r="I29" s="75" t="s">
        <v>4042</v>
      </c>
      <c r="J29" s="75" t="s">
        <v>4271</v>
      </c>
      <c r="K29" s="75" t="s">
        <v>4272</v>
      </c>
      <c r="L29" s="75" t="s">
        <v>4104</v>
      </c>
      <c r="M29" s="89">
        <v>46026</v>
      </c>
    </row>
    <row r="30" spans="1:13">
      <c r="A30" s="75" t="s">
        <v>4273</v>
      </c>
      <c r="B30" s="75" t="s">
        <v>4274</v>
      </c>
      <c r="C30" s="75" t="s">
        <v>33</v>
      </c>
      <c r="D30" s="75" t="s">
        <v>4231</v>
      </c>
      <c r="E30" s="75" t="s">
        <v>4107</v>
      </c>
      <c r="F30" s="75" t="s">
        <v>4275</v>
      </c>
      <c r="G30" s="75" t="s">
        <v>4276</v>
      </c>
      <c r="H30" s="75" t="s">
        <v>4277</v>
      </c>
      <c r="I30" s="75" t="s">
        <v>4070</v>
      </c>
      <c r="J30" s="75" t="s">
        <v>4278</v>
      </c>
      <c r="K30" s="75" t="s">
        <v>4279</v>
      </c>
      <c r="L30" s="75" t="s">
        <v>4045</v>
      </c>
      <c r="M30" s="89">
        <v>46027</v>
      </c>
    </row>
    <row r="31" spans="1:13">
      <c r="A31" s="75" t="s">
        <v>4280</v>
      </c>
      <c r="B31" s="75" t="s">
        <v>4281</v>
      </c>
      <c r="C31" s="75" t="s">
        <v>33</v>
      </c>
      <c r="D31" s="75" t="s">
        <v>4266</v>
      </c>
      <c r="E31" s="75" t="s">
        <v>4282</v>
      </c>
      <c r="F31" s="75" t="s">
        <v>4283</v>
      </c>
      <c r="G31" s="75" t="s">
        <v>4284</v>
      </c>
      <c r="H31" s="75" t="s">
        <v>4285</v>
      </c>
      <c r="I31" s="75" t="s">
        <v>4070</v>
      </c>
      <c r="J31" s="75" t="s">
        <v>4286</v>
      </c>
      <c r="K31" s="75" t="s">
        <v>4287</v>
      </c>
      <c r="L31" s="75" t="s">
        <v>59</v>
      </c>
      <c r="M31" s="89">
        <v>46028</v>
      </c>
    </row>
    <row r="32" spans="1:13">
      <c r="A32" s="75" t="s">
        <v>4288</v>
      </c>
      <c r="B32" s="75" t="s">
        <v>4289</v>
      </c>
      <c r="C32" s="75" t="s">
        <v>33</v>
      </c>
      <c r="D32" s="75" t="s">
        <v>4266</v>
      </c>
      <c r="E32" s="75" t="s">
        <v>4290</v>
      </c>
      <c r="F32" s="75" t="s">
        <v>4291</v>
      </c>
      <c r="G32" s="75" t="s">
        <v>4292</v>
      </c>
      <c r="H32" s="75" t="s">
        <v>4293</v>
      </c>
      <c r="I32" s="75" t="s">
        <v>4070</v>
      </c>
      <c r="J32" s="75" t="s">
        <v>4294</v>
      </c>
      <c r="K32" s="75" t="s">
        <v>4295</v>
      </c>
      <c r="L32" s="75" t="s">
        <v>4113</v>
      </c>
      <c r="M32" s="89">
        <v>46029</v>
      </c>
    </row>
    <row r="33" spans="1:13">
      <c r="A33" s="75" t="s">
        <v>4296</v>
      </c>
      <c r="B33" s="75" t="s">
        <v>4297</v>
      </c>
      <c r="C33" s="75" t="s">
        <v>48</v>
      </c>
      <c r="D33" s="75" t="s">
        <v>4298</v>
      </c>
      <c r="E33" s="75" t="s">
        <v>4075</v>
      </c>
      <c r="F33" s="75" t="s">
        <v>4299</v>
      </c>
      <c r="G33" s="75" t="s">
        <v>4300</v>
      </c>
      <c r="H33" s="75" t="s">
        <v>4301</v>
      </c>
      <c r="I33" s="75" t="s">
        <v>4070</v>
      </c>
      <c r="J33" s="75" t="s">
        <v>4302</v>
      </c>
      <c r="K33" s="75" t="s">
        <v>4303</v>
      </c>
      <c r="L33" s="75" t="s">
        <v>4045</v>
      </c>
      <c r="M33" s="89">
        <v>46030</v>
      </c>
    </row>
    <row r="34" spans="1:13">
      <c r="A34" s="75" t="s">
        <v>4304</v>
      </c>
      <c r="B34" s="75" t="s">
        <v>4305</v>
      </c>
      <c r="C34" s="75" t="s">
        <v>48</v>
      </c>
      <c r="D34" s="75" t="s">
        <v>4306</v>
      </c>
      <c r="E34" s="75" t="s">
        <v>4307</v>
      </c>
      <c r="F34" s="75" t="s">
        <v>4268</v>
      </c>
      <c r="G34" s="75" t="s">
        <v>4308</v>
      </c>
      <c r="H34" s="75" t="s">
        <v>4309</v>
      </c>
      <c r="I34" s="75" t="s">
        <v>4042</v>
      </c>
      <c r="J34" s="75" t="s">
        <v>4310</v>
      </c>
      <c r="K34" s="75" t="s">
        <v>4311</v>
      </c>
      <c r="L34" s="75" t="s">
        <v>4045</v>
      </c>
      <c r="M34" s="89">
        <v>46031</v>
      </c>
    </row>
    <row r="35" spans="1:13">
      <c r="A35" s="75" t="s">
        <v>4312</v>
      </c>
      <c r="B35" s="75" t="s">
        <v>4313</v>
      </c>
      <c r="C35" s="75" t="s">
        <v>48</v>
      </c>
      <c r="D35" s="75" t="s">
        <v>4306</v>
      </c>
      <c r="E35" s="75" t="s">
        <v>4107</v>
      </c>
      <c r="F35" s="75" t="s">
        <v>4314</v>
      </c>
      <c r="G35" s="75" t="s">
        <v>4315</v>
      </c>
      <c r="H35" s="75" t="s">
        <v>4316</v>
      </c>
      <c r="I35" s="75" t="s">
        <v>4070</v>
      </c>
      <c r="J35" s="75" t="s">
        <v>4317</v>
      </c>
      <c r="K35" s="75" t="s">
        <v>4318</v>
      </c>
      <c r="L35" s="75" t="s">
        <v>4104</v>
      </c>
      <c r="M35" s="89">
        <v>46032</v>
      </c>
    </row>
    <row r="36" spans="1:13">
      <c r="A36" s="75" t="s">
        <v>4319</v>
      </c>
      <c r="B36" s="75" t="s">
        <v>4320</v>
      </c>
      <c r="C36" s="75" t="s">
        <v>48</v>
      </c>
      <c r="D36" s="75" t="s">
        <v>4298</v>
      </c>
      <c r="E36" s="75" t="s">
        <v>855</v>
      </c>
      <c r="F36" s="75" t="s">
        <v>4321</v>
      </c>
      <c r="G36" s="75" t="s">
        <v>4322</v>
      </c>
      <c r="H36" s="75" t="s">
        <v>956</v>
      </c>
      <c r="I36" s="75" t="s">
        <v>4042</v>
      </c>
      <c r="J36" s="75" t="s">
        <v>4323</v>
      </c>
      <c r="K36" s="75" t="s">
        <v>4324</v>
      </c>
      <c r="L36" s="75" t="s">
        <v>4113</v>
      </c>
      <c r="M36" s="89">
        <v>46033</v>
      </c>
    </row>
    <row r="37" spans="1:13">
      <c r="A37" s="75" t="s">
        <v>4325</v>
      </c>
      <c r="B37" s="75" t="s">
        <v>4326</v>
      </c>
      <c r="C37" s="75" t="s">
        <v>1490</v>
      </c>
      <c r="D37" s="75" t="s">
        <v>4327</v>
      </c>
      <c r="E37" s="75" t="s">
        <v>4328</v>
      </c>
      <c r="F37" s="75" t="s">
        <v>4329</v>
      </c>
      <c r="G37" s="75" t="s">
        <v>4330</v>
      </c>
      <c r="H37" s="75" t="s">
        <v>956</v>
      </c>
      <c r="I37" s="75" t="s">
        <v>4042</v>
      </c>
      <c r="J37" s="75" t="s">
        <v>4331</v>
      </c>
      <c r="K37" s="75" t="s">
        <v>4332</v>
      </c>
      <c r="L37" s="75" t="s">
        <v>59</v>
      </c>
      <c r="M37" s="89">
        <v>46034</v>
      </c>
    </row>
    <row r="38" spans="1:13">
      <c r="A38" s="75" t="s">
        <v>4333</v>
      </c>
      <c r="B38" s="75" t="s">
        <v>4334</v>
      </c>
      <c r="C38" s="75" t="s">
        <v>1490</v>
      </c>
      <c r="D38" s="75" t="s">
        <v>4335</v>
      </c>
      <c r="E38" s="75" t="s">
        <v>4116</v>
      </c>
      <c r="F38" s="75" t="s">
        <v>4336</v>
      </c>
      <c r="G38" s="75" t="s">
        <v>4337</v>
      </c>
      <c r="H38" s="75" t="s">
        <v>1098</v>
      </c>
      <c r="I38" s="75" t="s">
        <v>4042</v>
      </c>
      <c r="J38" s="75" t="s">
        <v>4338</v>
      </c>
      <c r="K38" s="75" t="s">
        <v>4339</v>
      </c>
      <c r="L38" s="75" t="s">
        <v>4113</v>
      </c>
      <c r="M38" s="89">
        <v>46035</v>
      </c>
    </row>
    <row r="39" spans="1:13">
      <c r="A39" s="75" t="s">
        <v>4340</v>
      </c>
      <c r="B39" s="75" t="s">
        <v>4341</v>
      </c>
      <c r="C39" s="75" t="s">
        <v>1501</v>
      </c>
      <c r="D39" s="75" t="s">
        <v>4342</v>
      </c>
      <c r="E39" s="75" t="s">
        <v>4290</v>
      </c>
      <c r="F39" s="75" t="s">
        <v>4343</v>
      </c>
      <c r="G39" s="75" t="s">
        <v>4344</v>
      </c>
      <c r="H39" s="75" t="s">
        <v>4345</v>
      </c>
      <c r="I39" s="75" t="s">
        <v>4070</v>
      </c>
      <c r="J39" s="75" t="s">
        <v>4346</v>
      </c>
      <c r="K39" s="75" t="s">
        <v>4347</v>
      </c>
      <c r="L39" s="75" t="s">
        <v>4164</v>
      </c>
      <c r="M39" s="89">
        <v>46036</v>
      </c>
    </row>
    <row r="40" spans="1:13">
      <c r="A40" s="75" t="s">
        <v>4348</v>
      </c>
      <c r="B40" s="75" t="s">
        <v>4349</v>
      </c>
      <c r="C40" s="75" t="s">
        <v>1501</v>
      </c>
      <c r="D40" s="75" t="s">
        <v>4350</v>
      </c>
      <c r="E40" s="75" t="s">
        <v>4290</v>
      </c>
      <c r="F40" s="75" t="s">
        <v>4351</v>
      </c>
      <c r="G40" s="75" t="s">
        <v>4352</v>
      </c>
      <c r="H40" s="75" t="s">
        <v>4353</v>
      </c>
      <c r="I40" s="75" t="s">
        <v>4070</v>
      </c>
      <c r="J40" s="75" t="s">
        <v>4354</v>
      </c>
      <c r="K40" s="75" t="s">
        <v>4355</v>
      </c>
      <c r="L40" s="75" t="s">
        <v>4104</v>
      </c>
      <c r="M40" s="89">
        <v>46037</v>
      </c>
    </row>
    <row r="41" spans="1:13">
      <c r="A41" s="75" t="s">
        <v>4356</v>
      </c>
      <c r="B41" s="75" t="s">
        <v>4157</v>
      </c>
      <c r="C41" s="75" t="s">
        <v>17</v>
      </c>
      <c r="D41" s="75" t="s">
        <v>4357</v>
      </c>
      <c r="E41" s="75" t="s">
        <v>4158</v>
      </c>
      <c r="F41" s="75" t="s">
        <v>4358</v>
      </c>
      <c r="G41" s="75" t="s">
        <v>4160</v>
      </c>
      <c r="H41" s="75" t="s">
        <v>4161</v>
      </c>
      <c r="I41" s="75" t="s">
        <v>4042</v>
      </c>
      <c r="J41" s="75" t="s">
        <v>4359</v>
      </c>
      <c r="K41" s="75" t="s">
        <v>4360</v>
      </c>
      <c r="L41" s="75" t="s">
        <v>4164</v>
      </c>
      <c r="M41" s="89">
        <v>46038</v>
      </c>
    </row>
    <row r="42" spans="1:13">
      <c r="A42" s="75" t="s">
        <v>4361</v>
      </c>
      <c r="B42" s="75" t="s">
        <v>4141</v>
      </c>
      <c r="C42" s="75" t="s">
        <v>17</v>
      </c>
      <c r="D42" s="75" t="s">
        <v>4124</v>
      </c>
      <c r="E42" s="75" t="s">
        <v>4142</v>
      </c>
      <c r="F42" s="75" t="s">
        <v>4358</v>
      </c>
      <c r="G42" s="75" t="s">
        <v>4144</v>
      </c>
      <c r="H42" s="75" t="s">
        <v>4145</v>
      </c>
      <c r="I42" s="75" t="s">
        <v>4070</v>
      </c>
      <c r="J42" s="75" t="s">
        <v>4362</v>
      </c>
      <c r="K42" s="75" t="s">
        <v>4363</v>
      </c>
      <c r="L42" s="75" t="s">
        <v>4045</v>
      </c>
      <c r="M42" s="89">
        <v>46039</v>
      </c>
    </row>
    <row r="43" spans="1:13">
      <c r="A43" s="75" t="s">
        <v>4364</v>
      </c>
      <c r="B43" s="75" t="s">
        <v>4157</v>
      </c>
      <c r="C43" s="75" t="s">
        <v>17</v>
      </c>
      <c r="D43" s="75" t="s">
        <v>4133</v>
      </c>
      <c r="E43" s="75" t="s">
        <v>4158</v>
      </c>
      <c r="F43" s="75" t="s">
        <v>4365</v>
      </c>
      <c r="G43" s="75" t="s">
        <v>4160</v>
      </c>
      <c r="H43" s="75" t="s">
        <v>4161</v>
      </c>
      <c r="I43" s="75" t="s">
        <v>4042</v>
      </c>
      <c r="J43" s="75" t="s">
        <v>4366</v>
      </c>
      <c r="K43" s="75" t="s">
        <v>4367</v>
      </c>
      <c r="L43" s="75" t="s">
        <v>59</v>
      </c>
      <c r="M43" s="89">
        <v>46040</v>
      </c>
    </row>
    <row r="44" spans="1:13">
      <c r="A44" s="75" t="s">
        <v>4368</v>
      </c>
      <c r="B44" s="75" t="s">
        <v>4036</v>
      </c>
      <c r="C44" s="75" t="s">
        <v>1472</v>
      </c>
      <c r="D44" s="75" t="s">
        <v>4065</v>
      </c>
      <c r="E44" s="75" t="s">
        <v>4038</v>
      </c>
      <c r="F44" s="75" t="s">
        <v>4369</v>
      </c>
      <c r="G44" s="75" t="s">
        <v>4040</v>
      </c>
      <c r="H44" s="75" t="s">
        <v>4041</v>
      </c>
      <c r="I44" s="75" t="s">
        <v>4070</v>
      </c>
      <c r="J44" s="75" t="s">
        <v>4370</v>
      </c>
      <c r="K44" s="75" t="s">
        <v>4371</v>
      </c>
      <c r="L44" s="75" t="s">
        <v>4113</v>
      </c>
      <c r="M44" s="89">
        <v>46041</v>
      </c>
    </row>
    <row r="45" spans="1:13">
      <c r="A45" s="75" t="s">
        <v>4372</v>
      </c>
      <c r="B45" s="75" t="s">
        <v>4289</v>
      </c>
      <c r="C45" s="75" t="s">
        <v>33</v>
      </c>
      <c r="D45" s="75" t="s">
        <v>4231</v>
      </c>
      <c r="E45" s="75" t="s">
        <v>4290</v>
      </c>
      <c r="F45" s="75" t="s">
        <v>4358</v>
      </c>
      <c r="G45" s="75" t="s">
        <v>4292</v>
      </c>
      <c r="H45" s="75" t="s">
        <v>4293</v>
      </c>
      <c r="I45" s="75" t="s">
        <v>4070</v>
      </c>
      <c r="J45" s="75" t="s">
        <v>4373</v>
      </c>
      <c r="K45" s="75" t="s">
        <v>4374</v>
      </c>
      <c r="L45" s="75" t="s">
        <v>4104</v>
      </c>
      <c r="M45" s="89">
        <v>46042</v>
      </c>
    </row>
    <row r="46" spans="1:13">
      <c r="A46" s="75" t="s">
        <v>4375</v>
      </c>
      <c r="B46" s="75" t="s">
        <v>4081</v>
      </c>
      <c r="C46" s="75" t="s">
        <v>1472</v>
      </c>
      <c r="D46" s="75" t="s">
        <v>4082</v>
      </c>
      <c r="E46" s="75" t="s">
        <v>855</v>
      </c>
      <c r="F46" s="75" t="s">
        <v>4365</v>
      </c>
      <c r="G46" s="75" t="s">
        <v>4084</v>
      </c>
      <c r="H46" s="75" t="s">
        <v>4085</v>
      </c>
      <c r="I46" s="75" t="s">
        <v>4042</v>
      </c>
      <c r="J46" s="75" t="s">
        <v>4376</v>
      </c>
      <c r="K46" s="75" t="s">
        <v>4377</v>
      </c>
      <c r="L46" s="75" t="s">
        <v>4113</v>
      </c>
      <c r="M46" s="89">
        <v>46043</v>
      </c>
    </row>
    <row r="47" spans="1:13">
      <c r="A47" s="75" t="s">
        <v>4378</v>
      </c>
      <c r="B47" s="75" t="s">
        <v>4157</v>
      </c>
      <c r="C47" s="75" t="s">
        <v>17</v>
      </c>
      <c r="D47" s="75" t="s">
        <v>4133</v>
      </c>
      <c r="E47" s="75" t="s">
        <v>4158</v>
      </c>
      <c r="F47" s="75" t="s">
        <v>4369</v>
      </c>
      <c r="G47" s="75" t="s">
        <v>4160</v>
      </c>
      <c r="H47" s="75" t="s">
        <v>4161</v>
      </c>
      <c r="I47" s="75" t="s">
        <v>4042</v>
      </c>
      <c r="J47" s="75" t="s">
        <v>4379</v>
      </c>
      <c r="K47" s="75" t="s">
        <v>4380</v>
      </c>
      <c r="L47" s="75" t="s">
        <v>4045</v>
      </c>
      <c r="M47" s="89">
        <v>46044</v>
      </c>
    </row>
    <row r="48" spans="1:13">
      <c r="A48" s="75" t="s">
        <v>4381</v>
      </c>
      <c r="B48" s="75" t="s">
        <v>4313</v>
      </c>
      <c r="C48" s="75" t="s">
        <v>48</v>
      </c>
      <c r="D48" s="75" t="s">
        <v>4298</v>
      </c>
      <c r="E48" s="75" t="s">
        <v>4107</v>
      </c>
      <c r="F48" s="75" t="s">
        <v>4365</v>
      </c>
      <c r="G48" s="75" t="s">
        <v>4315</v>
      </c>
      <c r="H48" s="75" t="s">
        <v>4316</v>
      </c>
      <c r="I48" s="75" t="s">
        <v>4042</v>
      </c>
      <c r="J48" s="75" t="s">
        <v>4382</v>
      </c>
      <c r="K48" s="75" t="s">
        <v>4383</v>
      </c>
      <c r="L48" s="75" t="s">
        <v>4164</v>
      </c>
      <c r="M48" s="89">
        <v>46045</v>
      </c>
    </row>
    <row r="49" spans="1:13">
      <c r="A49" s="75" t="s">
        <v>4384</v>
      </c>
      <c r="B49" s="75" t="s">
        <v>4149</v>
      </c>
      <c r="C49" s="75" t="s">
        <v>17</v>
      </c>
      <c r="D49" s="75" t="s">
        <v>4124</v>
      </c>
      <c r="E49" s="75" t="s">
        <v>4150</v>
      </c>
      <c r="F49" s="75" t="s">
        <v>4365</v>
      </c>
      <c r="G49" s="75" t="s">
        <v>4152</v>
      </c>
      <c r="H49" s="75" t="s">
        <v>4153</v>
      </c>
      <c r="I49" s="75" t="s">
        <v>4070</v>
      </c>
      <c r="J49" s="75" t="s">
        <v>4385</v>
      </c>
      <c r="K49" s="75" t="s">
        <v>4386</v>
      </c>
      <c r="L49" s="75" t="s">
        <v>4113</v>
      </c>
      <c r="M49" s="89">
        <v>46046</v>
      </c>
    </row>
    <row r="50" spans="1:13">
      <c r="A50" s="75" t="s">
        <v>4387</v>
      </c>
      <c r="B50" s="75" t="s">
        <v>4064</v>
      </c>
      <c r="C50" s="75" t="s">
        <v>1472</v>
      </c>
      <c r="D50" s="75" t="s">
        <v>4037</v>
      </c>
      <c r="E50" s="75" t="s">
        <v>4066</v>
      </c>
      <c r="F50" s="75" t="s">
        <v>4358</v>
      </c>
      <c r="G50" s="75" t="s">
        <v>4068</v>
      </c>
      <c r="H50" s="75" t="s">
        <v>4069</v>
      </c>
      <c r="I50" s="75" t="s">
        <v>4070</v>
      </c>
      <c r="J50" s="75" t="s">
        <v>4388</v>
      </c>
      <c r="K50" s="75" t="s">
        <v>4389</v>
      </c>
      <c r="L50" s="75" t="s">
        <v>59</v>
      </c>
      <c r="M50" s="89">
        <v>46047</v>
      </c>
    </row>
    <row r="51" spans="1:13">
      <c r="A51" s="75" t="s">
        <v>4390</v>
      </c>
      <c r="B51" s="75" t="s">
        <v>4115</v>
      </c>
      <c r="C51" s="75" t="s">
        <v>1472</v>
      </c>
      <c r="D51" s="75" t="s">
        <v>4048</v>
      </c>
      <c r="E51" s="75" t="s">
        <v>4116</v>
      </c>
      <c r="F51" s="75" t="s">
        <v>4358</v>
      </c>
      <c r="G51" s="75" t="s">
        <v>4118</v>
      </c>
      <c r="H51" s="75" t="s">
        <v>4119</v>
      </c>
      <c r="I51" s="75" t="s">
        <v>4042</v>
      </c>
      <c r="J51" s="75" t="s">
        <v>4391</v>
      </c>
      <c r="K51" s="75" t="s">
        <v>4392</v>
      </c>
      <c r="L51" s="75" t="s">
        <v>59</v>
      </c>
      <c r="M51" s="89">
        <v>46048</v>
      </c>
    </row>
    <row r="52" spans="1:13">
      <c r="A52" s="75" t="s">
        <v>4393</v>
      </c>
      <c r="B52" s="75" t="s">
        <v>4313</v>
      </c>
      <c r="C52" s="75" t="s">
        <v>48</v>
      </c>
      <c r="D52" s="75" t="s">
        <v>4306</v>
      </c>
      <c r="E52" s="75" t="s">
        <v>4107</v>
      </c>
      <c r="F52" s="75" t="s">
        <v>4365</v>
      </c>
      <c r="G52" s="75" t="s">
        <v>4315</v>
      </c>
      <c r="H52" s="75" t="s">
        <v>4316</v>
      </c>
      <c r="I52" s="75" t="s">
        <v>4042</v>
      </c>
      <c r="J52" s="75" t="s">
        <v>4394</v>
      </c>
      <c r="K52" s="75" t="s">
        <v>4395</v>
      </c>
      <c r="L52" s="75" t="s">
        <v>4113</v>
      </c>
      <c r="M52" s="89">
        <v>46049</v>
      </c>
    </row>
    <row r="53" spans="1:13">
      <c r="A53" s="75" t="s">
        <v>4396</v>
      </c>
      <c r="B53" s="75" t="s">
        <v>4141</v>
      </c>
      <c r="C53" s="75" t="s">
        <v>17</v>
      </c>
      <c r="D53" s="75" t="s">
        <v>4124</v>
      </c>
      <c r="E53" s="75" t="s">
        <v>4142</v>
      </c>
      <c r="F53" s="75" t="s">
        <v>4143</v>
      </c>
      <c r="G53" s="75" t="s">
        <v>4144</v>
      </c>
      <c r="H53" s="75" t="s">
        <v>4145</v>
      </c>
      <c r="I53" s="75" t="s">
        <v>4042</v>
      </c>
      <c r="J53" s="75" t="s">
        <v>4397</v>
      </c>
      <c r="K53" s="75" t="s">
        <v>4398</v>
      </c>
      <c r="L53" s="75" t="s">
        <v>4045</v>
      </c>
      <c r="M53" s="89">
        <v>46050</v>
      </c>
    </row>
    <row r="54" spans="1:13">
      <c r="A54" s="75" t="s">
        <v>4399</v>
      </c>
      <c r="B54" s="75" t="s">
        <v>4274</v>
      </c>
      <c r="C54" s="75" t="s">
        <v>33</v>
      </c>
      <c r="D54" s="75" t="s">
        <v>4240</v>
      </c>
      <c r="E54" s="75" t="s">
        <v>4107</v>
      </c>
      <c r="F54" s="75" t="s">
        <v>4365</v>
      </c>
      <c r="G54" s="75" t="s">
        <v>4276</v>
      </c>
      <c r="H54" s="75" t="s">
        <v>4277</v>
      </c>
      <c r="I54" s="75" t="s">
        <v>4070</v>
      </c>
      <c r="J54" s="75" t="s">
        <v>4400</v>
      </c>
      <c r="K54" s="75" t="s">
        <v>4401</v>
      </c>
      <c r="L54" s="75" t="s">
        <v>4104</v>
      </c>
      <c r="M54" s="89">
        <v>46051</v>
      </c>
    </row>
    <row r="55" spans="1:13">
      <c r="A55" s="75" t="s">
        <v>4402</v>
      </c>
      <c r="B55" s="75" t="s">
        <v>4305</v>
      </c>
      <c r="C55" s="75" t="s">
        <v>48</v>
      </c>
      <c r="D55" s="75" t="s">
        <v>4306</v>
      </c>
      <c r="E55" s="75" t="s">
        <v>4307</v>
      </c>
      <c r="F55" s="75" t="s">
        <v>4369</v>
      </c>
      <c r="G55" s="75" t="s">
        <v>4308</v>
      </c>
      <c r="H55" s="75" t="s">
        <v>4309</v>
      </c>
      <c r="I55" s="75" t="s">
        <v>4070</v>
      </c>
      <c r="J55" s="75" t="s">
        <v>4403</v>
      </c>
      <c r="K55" s="75" t="s">
        <v>4404</v>
      </c>
      <c r="L55" s="75" t="s">
        <v>4104</v>
      </c>
      <c r="M55" s="89">
        <v>46052</v>
      </c>
    </row>
    <row r="56" spans="1:13">
      <c r="A56" s="75" t="s">
        <v>4405</v>
      </c>
      <c r="B56" s="75" t="s">
        <v>4097</v>
      </c>
      <c r="C56" s="75" t="s">
        <v>1472</v>
      </c>
      <c r="D56" s="75" t="s">
        <v>4065</v>
      </c>
      <c r="E56" s="75" t="s">
        <v>4098</v>
      </c>
      <c r="F56" s="75" t="s">
        <v>4358</v>
      </c>
      <c r="G56" s="75" t="s">
        <v>4100</v>
      </c>
      <c r="H56" s="75" t="s">
        <v>4101</v>
      </c>
      <c r="I56" s="75" t="s">
        <v>4042</v>
      </c>
      <c r="J56" s="75" t="s">
        <v>4406</v>
      </c>
      <c r="K56" s="75" t="s">
        <v>4407</v>
      </c>
      <c r="L56" s="75" t="s">
        <v>4045</v>
      </c>
      <c r="M56" s="89">
        <v>46053</v>
      </c>
    </row>
    <row r="57" spans="1:13">
      <c r="A57" s="75" t="s">
        <v>4408</v>
      </c>
      <c r="B57" s="75" t="s">
        <v>4149</v>
      </c>
      <c r="C57" s="75" t="s">
        <v>17</v>
      </c>
      <c r="D57" s="75" t="s">
        <v>4124</v>
      </c>
      <c r="E57" s="75" t="s">
        <v>4150</v>
      </c>
      <c r="F57" s="75" t="s">
        <v>4151</v>
      </c>
      <c r="G57" s="75" t="s">
        <v>4152</v>
      </c>
      <c r="H57" s="75" t="s">
        <v>4153</v>
      </c>
      <c r="I57" s="75" t="s">
        <v>4042</v>
      </c>
      <c r="J57" s="75" t="s">
        <v>4409</v>
      </c>
      <c r="K57" s="75" t="s">
        <v>4410</v>
      </c>
      <c r="L57" s="75" t="s">
        <v>4164</v>
      </c>
      <c r="M57" s="89">
        <v>46054</v>
      </c>
    </row>
    <row r="58" spans="1:13">
      <c r="A58" s="75" t="s">
        <v>4411</v>
      </c>
      <c r="B58" s="75" t="s">
        <v>4106</v>
      </c>
      <c r="C58" s="75" t="s">
        <v>1472</v>
      </c>
      <c r="D58" s="75" t="s">
        <v>4065</v>
      </c>
      <c r="E58" s="75" t="s">
        <v>4107</v>
      </c>
      <c r="F58" s="75" t="s">
        <v>4365</v>
      </c>
      <c r="G58" s="75" t="s">
        <v>4109</v>
      </c>
      <c r="H58" s="75" t="s">
        <v>4110</v>
      </c>
      <c r="I58" s="75" t="s">
        <v>4070</v>
      </c>
      <c r="J58" s="75" t="s">
        <v>4412</v>
      </c>
      <c r="K58" s="75" t="s">
        <v>4413</v>
      </c>
      <c r="L58" s="75" t="s">
        <v>4113</v>
      </c>
      <c r="M58" s="89">
        <v>46055</v>
      </c>
    </row>
    <row r="59" spans="1:13">
      <c r="A59" s="75" t="s">
        <v>4414</v>
      </c>
      <c r="B59" s="75" t="s">
        <v>4036</v>
      </c>
      <c r="C59" s="75" t="s">
        <v>1472</v>
      </c>
      <c r="D59" s="75" t="s">
        <v>4082</v>
      </c>
      <c r="E59" s="75" t="s">
        <v>4038</v>
      </c>
      <c r="F59" s="75" t="s">
        <v>4365</v>
      </c>
      <c r="G59" s="75" t="s">
        <v>4040</v>
      </c>
      <c r="H59" s="75" t="s">
        <v>4041</v>
      </c>
      <c r="I59" s="75" t="s">
        <v>4070</v>
      </c>
      <c r="J59" s="75" t="s">
        <v>4415</v>
      </c>
      <c r="K59" s="75" t="s">
        <v>4416</v>
      </c>
      <c r="L59" s="75" t="s">
        <v>4104</v>
      </c>
      <c r="M59" s="89">
        <v>46056</v>
      </c>
    </row>
    <row r="60" spans="1:13">
      <c r="A60" s="75" t="s">
        <v>4417</v>
      </c>
      <c r="B60" s="75" t="s">
        <v>4141</v>
      </c>
      <c r="C60" s="75" t="s">
        <v>17</v>
      </c>
      <c r="D60" s="75" t="s">
        <v>4124</v>
      </c>
      <c r="E60" s="75" t="s">
        <v>4142</v>
      </c>
      <c r="F60" s="75" t="s">
        <v>4369</v>
      </c>
      <c r="G60" s="75" t="s">
        <v>4144</v>
      </c>
      <c r="H60" s="75" t="s">
        <v>4145</v>
      </c>
      <c r="I60" s="75" t="s">
        <v>4042</v>
      </c>
      <c r="J60" s="75" t="s">
        <v>4418</v>
      </c>
      <c r="K60" s="75" t="s">
        <v>4419</v>
      </c>
      <c r="L60" s="75" t="s">
        <v>4104</v>
      </c>
      <c r="M60" s="89">
        <v>46057</v>
      </c>
    </row>
    <row r="61" spans="1:13">
      <c r="A61" s="75" t="s">
        <v>4420</v>
      </c>
      <c r="B61" s="75" t="s">
        <v>4274</v>
      </c>
      <c r="C61" s="75" t="s">
        <v>33</v>
      </c>
      <c r="D61" s="75" t="s">
        <v>4266</v>
      </c>
      <c r="E61" s="75" t="s">
        <v>4107</v>
      </c>
      <c r="F61" s="75" t="s">
        <v>4358</v>
      </c>
      <c r="G61" s="75" t="s">
        <v>4276</v>
      </c>
      <c r="H61" s="75" t="s">
        <v>4277</v>
      </c>
      <c r="I61" s="75" t="s">
        <v>4042</v>
      </c>
      <c r="J61" s="75" t="s">
        <v>4421</v>
      </c>
      <c r="K61" s="75" t="s">
        <v>4422</v>
      </c>
      <c r="L61" s="75" t="s">
        <v>4113</v>
      </c>
      <c r="M61" s="89">
        <v>46058</v>
      </c>
    </row>
    <row r="62" spans="1:13">
      <c r="A62" s="75" t="s">
        <v>4423</v>
      </c>
      <c r="B62" s="75" t="s">
        <v>4106</v>
      </c>
      <c r="C62" s="75" t="s">
        <v>1472</v>
      </c>
      <c r="D62" s="75" t="s">
        <v>4048</v>
      </c>
      <c r="E62" s="75" t="s">
        <v>4107</v>
      </c>
      <c r="F62" s="75" t="s">
        <v>4365</v>
      </c>
      <c r="G62" s="75" t="s">
        <v>4109</v>
      </c>
      <c r="H62" s="75" t="s">
        <v>4110</v>
      </c>
      <c r="I62" s="75" t="s">
        <v>4042</v>
      </c>
      <c r="J62" s="75" t="s">
        <v>4424</v>
      </c>
      <c r="K62" s="75" t="s">
        <v>4425</v>
      </c>
      <c r="L62" s="75" t="s">
        <v>4113</v>
      </c>
      <c r="M62" s="89">
        <v>46059</v>
      </c>
    </row>
    <row r="63" spans="1:13">
      <c r="A63" s="75" t="s">
        <v>4426</v>
      </c>
      <c r="B63" s="75" t="s">
        <v>4274</v>
      </c>
      <c r="C63" s="75" t="s">
        <v>33</v>
      </c>
      <c r="D63" s="75" t="s">
        <v>4427</v>
      </c>
      <c r="E63" s="75" t="s">
        <v>4107</v>
      </c>
      <c r="F63" s="75" t="s">
        <v>4369</v>
      </c>
      <c r="G63" s="75" t="s">
        <v>4276</v>
      </c>
      <c r="H63" s="75" t="s">
        <v>4277</v>
      </c>
      <c r="I63" s="75" t="s">
        <v>4042</v>
      </c>
      <c r="J63" s="75" t="s">
        <v>4428</v>
      </c>
      <c r="K63" s="75" t="s">
        <v>4429</v>
      </c>
      <c r="L63" s="75" t="s">
        <v>59</v>
      </c>
      <c r="M63" s="89">
        <v>46060</v>
      </c>
    </row>
    <row r="64" spans="1:13">
      <c r="A64" s="75" t="s">
        <v>4430</v>
      </c>
      <c r="B64" s="75" t="s">
        <v>4297</v>
      </c>
      <c r="C64" s="75" t="s">
        <v>48</v>
      </c>
      <c r="D64" s="75" t="s">
        <v>4298</v>
      </c>
      <c r="E64" s="75" t="s">
        <v>4075</v>
      </c>
      <c r="F64" s="75" t="s">
        <v>4369</v>
      </c>
      <c r="G64" s="75" t="s">
        <v>4300</v>
      </c>
      <c r="H64" s="75" t="s">
        <v>4301</v>
      </c>
      <c r="I64" s="75" t="s">
        <v>4042</v>
      </c>
      <c r="J64" s="75" t="s">
        <v>4431</v>
      </c>
      <c r="K64" s="75" t="s">
        <v>4432</v>
      </c>
      <c r="L64" s="75" t="s">
        <v>4045</v>
      </c>
      <c r="M64" s="89">
        <v>46061</v>
      </c>
    </row>
    <row r="65" spans="1:13">
      <c r="A65" s="75" t="s">
        <v>4433</v>
      </c>
      <c r="B65" s="75" t="s">
        <v>4182</v>
      </c>
      <c r="C65" s="75" t="s">
        <v>17</v>
      </c>
      <c r="D65" s="75" t="s">
        <v>4183</v>
      </c>
      <c r="E65" s="75" t="s">
        <v>4175</v>
      </c>
      <c r="F65" s="75" t="s">
        <v>4184</v>
      </c>
      <c r="G65" s="75" t="s">
        <v>4185</v>
      </c>
      <c r="H65" s="75" t="s">
        <v>4186</v>
      </c>
      <c r="I65" s="75" t="s">
        <v>4042</v>
      </c>
      <c r="J65" s="75" t="s">
        <v>4434</v>
      </c>
      <c r="K65" s="75" t="s">
        <v>4435</v>
      </c>
      <c r="L65" s="75" t="s">
        <v>4113</v>
      </c>
      <c r="M65" s="89">
        <v>46062</v>
      </c>
    </row>
    <row r="66" spans="1:13">
      <c r="A66" s="75" t="s">
        <v>4436</v>
      </c>
      <c r="B66" s="75" t="s">
        <v>4106</v>
      </c>
      <c r="C66" s="75" t="s">
        <v>1472</v>
      </c>
      <c r="D66" s="75" t="s">
        <v>4037</v>
      </c>
      <c r="E66" s="75" t="s">
        <v>4107</v>
      </c>
      <c r="F66" s="75" t="s">
        <v>4108</v>
      </c>
      <c r="G66" s="75" t="s">
        <v>4109</v>
      </c>
      <c r="H66" s="75" t="s">
        <v>4110</v>
      </c>
      <c r="I66" s="75" t="s">
        <v>4042</v>
      </c>
      <c r="J66" s="75" t="s">
        <v>4437</v>
      </c>
      <c r="K66" s="75" t="s">
        <v>4438</v>
      </c>
      <c r="L66" s="75" t="s">
        <v>4164</v>
      </c>
      <c r="M66" s="89">
        <v>46063</v>
      </c>
    </row>
    <row r="67" spans="1:13">
      <c r="A67" s="75" t="s">
        <v>4439</v>
      </c>
      <c r="B67" s="75" t="s">
        <v>4174</v>
      </c>
      <c r="C67" s="75" t="s">
        <v>17</v>
      </c>
      <c r="D67" s="75" t="s">
        <v>4183</v>
      </c>
      <c r="E67" s="75" t="s">
        <v>4175</v>
      </c>
      <c r="F67" s="75" t="s">
        <v>4365</v>
      </c>
      <c r="G67" s="75" t="s">
        <v>4177</v>
      </c>
      <c r="H67" s="75" t="s">
        <v>4178</v>
      </c>
      <c r="I67" s="75" t="s">
        <v>4042</v>
      </c>
      <c r="J67" s="75" t="s">
        <v>4440</v>
      </c>
      <c r="K67" s="75" t="s">
        <v>4441</v>
      </c>
      <c r="L67" s="75" t="s">
        <v>4113</v>
      </c>
      <c r="M67" s="89">
        <v>46064</v>
      </c>
    </row>
    <row r="68" spans="1:13">
      <c r="A68" s="75" t="s">
        <v>4442</v>
      </c>
      <c r="B68" s="75" t="s">
        <v>4248</v>
      </c>
      <c r="C68" s="75" t="s">
        <v>33</v>
      </c>
      <c r="D68" s="75" t="s">
        <v>4240</v>
      </c>
      <c r="E68" s="75" t="s">
        <v>4249</v>
      </c>
      <c r="F68" s="75" t="s">
        <v>4369</v>
      </c>
      <c r="G68" s="75" t="s">
        <v>4251</v>
      </c>
      <c r="H68" s="75" t="s">
        <v>4252</v>
      </c>
      <c r="I68" s="75" t="s">
        <v>4070</v>
      </c>
      <c r="J68" s="75" t="s">
        <v>4443</v>
      </c>
      <c r="K68" s="75" t="s">
        <v>4444</v>
      </c>
      <c r="L68" s="75" t="s">
        <v>59</v>
      </c>
      <c r="M68" s="89">
        <v>46065</v>
      </c>
    </row>
    <row r="69" spans="1:13">
      <c r="A69" s="75" t="s">
        <v>4445</v>
      </c>
      <c r="B69" s="75" t="s">
        <v>4222</v>
      </c>
      <c r="C69" s="75" t="s">
        <v>2449</v>
      </c>
      <c r="D69" s="75" t="s">
        <v>4446</v>
      </c>
      <c r="E69" s="75" t="s">
        <v>4223</v>
      </c>
      <c r="F69" s="75" t="s">
        <v>4369</v>
      </c>
      <c r="G69" s="75" t="s">
        <v>4225</v>
      </c>
      <c r="H69" s="75" t="s">
        <v>4226</v>
      </c>
      <c r="I69" s="75" t="s">
        <v>4042</v>
      </c>
      <c r="J69" s="75" t="s">
        <v>4447</v>
      </c>
      <c r="K69" s="75" t="s">
        <v>4448</v>
      </c>
      <c r="L69" s="75" t="s">
        <v>59</v>
      </c>
      <c r="M69" s="89">
        <v>46066</v>
      </c>
    </row>
    <row r="70" spans="1:13">
      <c r="A70" s="75" t="s">
        <v>4449</v>
      </c>
      <c r="B70" s="75" t="s">
        <v>4239</v>
      </c>
      <c r="C70" s="75" t="s">
        <v>33</v>
      </c>
      <c r="D70" s="75" t="s">
        <v>4257</v>
      </c>
      <c r="E70" s="75" t="s">
        <v>4241</v>
      </c>
      <c r="F70" s="75" t="s">
        <v>4358</v>
      </c>
      <c r="G70" s="75" t="s">
        <v>4243</v>
      </c>
      <c r="H70" s="75" t="s">
        <v>4244</v>
      </c>
      <c r="I70" s="75" t="s">
        <v>4042</v>
      </c>
      <c r="J70" s="75" t="s">
        <v>4450</v>
      </c>
      <c r="K70" s="75" t="s">
        <v>4451</v>
      </c>
      <c r="L70" s="75" t="s">
        <v>59</v>
      </c>
      <c r="M70" s="89">
        <v>46067</v>
      </c>
    </row>
    <row r="71" spans="1:13">
      <c r="A71" s="75" t="s">
        <v>4452</v>
      </c>
      <c r="B71" s="75" t="s">
        <v>4313</v>
      </c>
      <c r="C71" s="75" t="s">
        <v>48</v>
      </c>
      <c r="D71" s="75" t="s">
        <v>4298</v>
      </c>
      <c r="E71" s="75" t="s">
        <v>4107</v>
      </c>
      <c r="F71" s="75" t="s">
        <v>4369</v>
      </c>
      <c r="G71" s="75" t="s">
        <v>4315</v>
      </c>
      <c r="H71" s="75" t="s">
        <v>4316</v>
      </c>
      <c r="I71" s="75" t="s">
        <v>4070</v>
      </c>
      <c r="J71" s="75" t="s">
        <v>4453</v>
      </c>
      <c r="K71" s="75" t="s">
        <v>4454</v>
      </c>
      <c r="L71" s="75" t="s">
        <v>4113</v>
      </c>
      <c r="M71" s="89">
        <v>46068</v>
      </c>
    </row>
    <row r="72" spans="1:13">
      <c r="A72" s="75" t="s">
        <v>4455</v>
      </c>
      <c r="B72" s="75" t="s">
        <v>4182</v>
      </c>
      <c r="C72" s="75" t="s">
        <v>17</v>
      </c>
      <c r="D72" s="75" t="s">
        <v>4133</v>
      </c>
      <c r="E72" s="75" t="s">
        <v>4175</v>
      </c>
      <c r="F72" s="75" t="s">
        <v>4369</v>
      </c>
      <c r="G72" s="75" t="s">
        <v>4185</v>
      </c>
      <c r="H72" s="75" t="s">
        <v>4186</v>
      </c>
      <c r="I72" s="75" t="s">
        <v>4042</v>
      </c>
      <c r="J72" s="75" t="s">
        <v>4456</v>
      </c>
      <c r="K72" s="75" t="s">
        <v>4457</v>
      </c>
      <c r="L72" s="75" t="s">
        <v>4164</v>
      </c>
      <c r="M72" s="89">
        <v>46069</v>
      </c>
    </row>
    <row r="73" spans="1:13">
      <c r="A73" s="75" t="s">
        <v>4458</v>
      </c>
      <c r="B73" s="75" t="s">
        <v>4149</v>
      </c>
      <c r="C73" s="75" t="s">
        <v>17</v>
      </c>
      <c r="D73" s="75" t="s">
        <v>4357</v>
      </c>
      <c r="E73" s="75" t="s">
        <v>4150</v>
      </c>
      <c r="F73" s="75" t="s">
        <v>4151</v>
      </c>
      <c r="G73" s="75" t="s">
        <v>4152</v>
      </c>
      <c r="H73" s="75" t="s">
        <v>4153</v>
      </c>
      <c r="I73" s="75" t="s">
        <v>4042</v>
      </c>
      <c r="J73" s="75" t="s">
        <v>4459</v>
      </c>
      <c r="K73" s="75" t="s">
        <v>4460</v>
      </c>
      <c r="L73" s="75" t="s">
        <v>4164</v>
      </c>
      <c r="M73" s="89">
        <v>46070</v>
      </c>
    </row>
    <row r="74" spans="1:13">
      <c r="A74" s="75" t="s">
        <v>4461</v>
      </c>
      <c r="B74" s="75" t="s">
        <v>4297</v>
      </c>
      <c r="C74" s="75" t="s">
        <v>48</v>
      </c>
      <c r="D74" s="75" t="s">
        <v>4298</v>
      </c>
      <c r="E74" s="75" t="s">
        <v>4075</v>
      </c>
      <c r="F74" s="75" t="s">
        <v>4369</v>
      </c>
      <c r="G74" s="75" t="s">
        <v>4300</v>
      </c>
      <c r="H74" s="75" t="s">
        <v>4301</v>
      </c>
      <c r="I74" s="75" t="s">
        <v>4042</v>
      </c>
      <c r="J74" s="75" t="s">
        <v>4462</v>
      </c>
      <c r="K74" s="75" t="s">
        <v>4463</v>
      </c>
      <c r="L74" s="75" t="s">
        <v>4104</v>
      </c>
      <c r="M74" s="89">
        <v>46071</v>
      </c>
    </row>
    <row r="75" spans="1:13">
      <c r="A75" s="75" t="s">
        <v>4464</v>
      </c>
      <c r="B75" s="75" t="s">
        <v>4036</v>
      </c>
      <c r="C75" s="75" t="s">
        <v>1472</v>
      </c>
      <c r="D75" s="75" t="s">
        <v>4037</v>
      </c>
      <c r="E75" s="75" t="s">
        <v>4038</v>
      </c>
      <c r="F75" s="75" t="s">
        <v>4369</v>
      </c>
      <c r="G75" s="75" t="s">
        <v>4040</v>
      </c>
      <c r="H75" s="75" t="s">
        <v>4041</v>
      </c>
      <c r="I75" s="75" t="s">
        <v>4042</v>
      </c>
      <c r="J75" s="75" t="s">
        <v>4465</v>
      </c>
      <c r="K75" s="75" t="s">
        <v>4466</v>
      </c>
      <c r="L75" s="75" t="s">
        <v>4113</v>
      </c>
      <c r="M75" s="89">
        <v>46072</v>
      </c>
    </row>
    <row r="76" spans="1:13">
      <c r="A76" t="s">
        <v>4467</v>
      </c>
      <c r="B76" t="s">
        <v>4157</v>
      </c>
      <c r="C76" t="s">
        <v>17</v>
      </c>
      <c r="D76" t="s">
        <v>4357</v>
      </c>
      <c r="E76" t="s">
        <v>4158</v>
      </c>
      <c r="F76" t="s">
        <v>4369</v>
      </c>
      <c r="G76" t="s">
        <v>4160</v>
      </c>
      <c r="H76" t="s">
        <v>4161</v>
      </c>
      <c r="I76" t="s">
        <v>4042</v>
      </c>
      <c r="J76" t="s">
        <v>4468</v>
      </c>
      <c r="K76" t="s">
        <v>4469</v>
      </c>
      <c r="L76" t="s">
        <v>59</v>
      </c>
      <c r="M76" s="89">
        <v>46073</v>
      </c>
    </row>
    <row r="77" spans="1:13">
      <c r="A77" t="s">
        <v>4470</v>
      </c>
      <c r="B77" t="s">
        <v>4248</v>
      </c>
      <c r="C77" t="s">
        <v>33</v>
      </c>
      <c r="D77" t="s">
        <v>4231</v>
      </c>
      <c r="E77" t="s">
        <v>4249</v>
      </c>
      <c r="F77" t="s">
        <v>4250</v>
      </c>
      <c r="G77" t="s">
        <v>4251</v>
      </c>
      <c r="H77" t="s">
        <v>4252</v>
      </c>
      <c r="I77" t="s">
        <v>4042</v>
      </c>
      <c r="J77" t="s">
        <v>4471</v>
      </c>
      <c r="K77" t="s">
        <v>4472</v>
      </c>
      <c r="L77" t="s">
        <v>59</v>
      </c>
      <c r="M77" s="89">
        <v>46074</v>
      </c>
    </row>
    <row r="78" spans="1:13">
      <c r="A78" t="s">
        <v>4473</v>
      </c>
      <c r="B78" t="s">
        <v>4081</v>
      </c>
      <c r="C78" t="s">
        <v>1472</v>
      </c>
      <c r="D78" t="s">
        <v>4065</v>
      </c>
      <c r="E78" t="s">
        <v>855</v>
      </c>
      <c r="F78" t="s">
        <v>4083</v>
      </c>
      <c r="G78" t="s">
        <v>4084</v>
      </c>
      <c r="H78" t="s">
        <v>4085</v>
      </c>
      <c r="I78" t="s">
        <v>4042</v>
      </c>
      <c r="J78" t="s">
        <v>4474</v>
      </c>
      <c r="K78" t="s">
        <v>4475</v>
      </c>
      <c r="L78" t="s">
        <v>4113</v>
      </c>
      <c r="M78" s="89">
        <v>46075</v>
      </c>
    </row>
    <row r="79" spans="1:13">
      <c r="A79" t="s">
        <v>4476</v>
      </c>
      <c r="B79" t="s">
        <v>4081</v>
      </c>
      <c r="C79" t="s">
        <v>1472</v>
      </c>
      <c r="D79" t="s">
        <v>4065</v>
      </c>
      <c r="E79" t="s">
        <v>855</v>
      </c>
      <c r="F79" t="s">
        <v>4369</v>
      </c>
      <c r="G79" t="s">
        <v>4084</v>
      </c>
      <c r="H79" t="s">
        <v>4085</v>
      </c>
      <c r="I79" t="s">
        <v>4070</v>
      </c>
      <c r="J79" t="s">
        <v>4477</v>
      </c>
      <c r="K79" t="s">
        <v>4478</v>
      </c>
      <c r="L79" t="s">
        <v>59</v>
      </c>
      <c r="M79" s="89">
        <v>46076</v>
      </c>
    </row>
    <row r="80" spans="1:13">
      <c r="A80" t="s">
        <v>4479</v>
      </c>
      <c r="B80" t="s">
        <v>4097</v>
      </c>
      <c r="C80" t="s">
        <v>1472</v>
      </c>
      <c r="D80" t="s">
        <v>4082</v>
      </c>
      <c r="E80" t="s">
        <v>4098</v>
      </c>
      <c r="F80" t="s">
        <v>4358</v>
      </c>
      <c r="G80" t="s">
        <v>4100</v>
      </c>
      <c r="H80" t="s">
        <v>4101</v>
      </c>
      <c r="I80" t="s">
        <v>4070</v>
      </c>
      <c r="J80" t="s">
        <v>4480</v>
      </c>
      <c r="K80" t="s">
        <v>4481</v>
      </c>
      <c r="L80" t="s">
        <v>4113</v>
      </c>
      <c r="M80" s="89">
        <v>46077</v>
      </c>
    </row>
    <row r="81" spans="1:13">
      <c r="A81" t="s">
        <v>4482</v>
      </c>
      <c r="B81" t="s">
        <v>4313</v>
      </c>
      <c r="C81" t="s">
        <v>48</v>
      </c>
      <c r="D81" t="s">
        <v>4306</v>
      </c>
      <c r="E81" t="s">
        <v>4107</v>
      </c>
      <c r="F81" t="s">
        <v>4358</v>
      </c>
      <c r="G81" t="s">
        <v>4315</v>
      </c>
      <c r="H81" t="s">
        <v>4316</v>
      </c>
      <c r="I81" t="s">
        <v>4042</v>
      </c>
      <c r="J81" t="s">
        <v>4483</v>
      </c>
      <c r="K81" t="s">
        <v>4484</v>
      </c>
      <c r="L81" t="s">
        <v>4104</v>
      </c>
      <c r="M81" s="89">
        <v>46078</v>
      </c>
    </row>
  </sheetData>
  <sheetProtection algorithmName="SHA-512" hashValue="fXNl1VvhUWYtj2FL3D3mQT48QjLOHfx0p6Zqyrxu1htUnbGSqHUoBYm0utGUfMSysIi6JNHpfo32MWpZ4NKKXg==" saltValue="vartwqWO7uUByZsYnayjYQ==" spinCount="100000" sheet="1" objects="1" scenarios="1"/>
  <protectedRanges>
    <protectedRange sqref="A2:M2 A3:L75 M3:M81" name="Range1"/>
  </protectedRanges>
  <dataValidations count="2">
    <dataValidation type="list" allowBlank="1" errorTitle="Invalid entry" error="Please select a value from the dropdown list." promptTitle="Select" prompt="Choose from the dropdown." sqref="C2:C491" xr:uid="{00000000-0002-0000-1400-000000000000}">
      <formula1>SystemList</formula1>
    </dataValidation>
    <dataValidation type="list" allowBlank="1" errorTitle="Invalid entry" error="Please select a value from the dropdown list." promptTitle="Select" prompt="Choose from the dropdown." sqref="I2:I491" xr:uid="{00000000-0002-0000-1400-000001000000}">
      <formula1>PassFail</formula1>
    </dataValidation>
  </dataValidations>
  <printOptions horizontalCentered="1"/>
  <pageMargins left="0" right="0" top="0" bottom="0" header="0" footer="0"/>
  <pageSetup scale="45" fitToHeight="0"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8">
    <pageSetUpPr fitToPage="1"/>
  </sheetPr>
  <dimension ref="A1:K63"/>
  <sheetViews>
    <sheetView view="pageBreakPreview" zoomScale="60" zoomScaleNormal="55" workbookViewId="0">
      <pane ySplit="1" topLeftCell="A20" activePane="bottomLeft" state="frozen"/>
      <selection pane="bottomLeft" activeCell="J31" sqref="J31"/>
    </sheetView>
  </sheetViews>
  <sheetFormatPr defaultRowHeight="14.4"/>
  <cols>
    <col min="1" max="1" width="26.21875" customWidth="1"/>
    <col min="2" max="11" width="22" customWidth="1"/>
  </cols>
  <sheetData>
    <row r="1" spans="1:11" ht="52.2" customHeight="1">
      <c r="A1" s="10" t="s">
        <v>1356</v>
      </c>
      <c r="B1" s="10" t="s">
        <v>9</v>
      </c>
      <c r="C1" s="10" t="s">
        <v>139</v>
      </c>
      <c r="D1" s="10" t="s">
        <v>142</v>
      </c>
      <c r="E1" s="10" t="s">
        <v>1348</v>
      </c>
      <c r="F1" s="10" t="s">
        <v>1349</v>
      </c>
      <c r="G1" s="10" t="s">
        <v>11</v>
      </c>
      <c r="H1" s="10" t="s">
        <v>147</v>
      </c>
      <c r="I1" s="10" t="s">
        <v>1350</v>
      </c>
      <c r="J1" s="10" t="s">
        <v>10</v>
      </c>
      <c r="K1" s="10" t="s">
        <v>1351</v>
      </c>
    </row>
    <row r="2" spans="1:11">
      <c r="A2" s="75" t="s">
        <v>3814</v>
      </c>
      <c r="B2" s="75" t="s">
        <v>29</v>
      </c>
      <c r="C2" s="75" t="s">
        <v>1472</v>
      </c>
      <c r="D2" s="75" t="s">
        <v>1719</v>
      </c>
      <c r="E2" s="75" t="s">
        <v>3815</v>
      </c>
      <c r="F2" s="75" t="s">
        <v>4485</v>
      </c>
      <c r="G2" s="75" t="s">
        <v>59</v>
      </c>
      <c r="H2" s="75" t="s">
        <v>4486</v>
      </c>
      <c r="I2" s="75" t="s">
        <v>4487</v>
      </c>
      <c r="J2" s="75" t="s">
        <v>14</v>
      </c>
      <c r="K2" s="75"/>
    </row>
    <row r="3" spans="1:11">
      <c r="A3" s="75" t="s">
        <v>3816</v>
      </c>
      <c r="B3" s="75" t="s">
        <v>29</v>
      </c>
      <c r="C3" s="75" t="s">
        <v>1472</v>
      </c>
      <c r="D3" s="75" t="s">
        <v>1722</v>
      </c>
      <c r="E3" s="75" t="s">
        <v>3817</v>
      </c>
      <c r="F3" s="75" t="s">
        <v>4485</v>
      </c>
      <c r="G3" s="75" t="s">
        <v>59</v>
      </c>
      <c r="H3" s="75" t="s">
        <v>4486</v>
      </c>
      <c r="I3" s="75" t="s">
        <v>4488</v>
      </c>
      <c r="J3" s="75" t="s">
        <v>14</v>
      </c>
      <c r="K3" s="75"/>
    </row>
    <row r="4" spans="1:11">
      <c r="A4" s="75" t="s">
        <v>3818</v>
      </c>
      <c r="B4" s="75" t="s">
        <v>29</v>
      </c>
      <c r="C4" s="75" t="s">
        <v>1472</v>
      </c>
      <c r="D4" s="75" t="s">
        <v>1725</v>
      </c>
      <c r="E4" s="75" t="s">
        <v>3817</v>
      </c>
      <c r="F4" s="75" t="s">
        <v>4489</v>
      </c>
      <c r="G4" s="75" t="s">
        <v>59</v>
      </c>
      <c r="H4" s="75" t="s">
        <v>4486</v>
      </c>
      <c r="I4" s="75" t="s">
        <v>4490</v>
      </c>
      <c r="J4" s="75" t="s">
        <v>14</v>
      </c>
      <c r="K4" s="75"/>
    </row>
    <row r="5" spans="1:11">
      <c r="A5" s="75" t="s">
        <v>3819</v>
      </c>
      <c r="B5" s="75" t="s">
        <v>13</v>
      </c>
      <c r="C5" s="75" t="s">
        <v>1472</v>
      </c>
      <c r="D5" s="75" t="s">
        <v>1728</v>
      </c>
      <c r="E5" s="75" t="s">
        <v>3821</v>
      </c>
      <c r="F5" s="75" t="s">
        <v>4485</v>
      </c>
      <c r="G5" s="75" t="s">
        <v>59</v>
      </c>
      <c r="H5" s="75" t="s">
        <v>3820</v>
      </c>
      <c r="I5" s="75" t="s">
        <v>4491</v>
      </c>
      <c r="J5" s="75" t="s">
        <v>14</v>
      </c>
      <c r="K5" s="75"/>
    </row>
    <row r="6" spans="1:11">
      <c r="A6" s="75" t="s">
        <v>3822</v>
      </c>
      <c r="B6" s="75" t="s">
        <v>13</v>
      </c>
      <c r="C6" s="75" t="s">
        <v>1472</v>
      </c>
      <c r="D6" s="75" t="s">
        <v>1734</v>
      </c>
      <c r="E6" s="75" t="s">
        <v>3823</v>
      </c>
      <c r="F6" s="75" t="s">
        <v>4489</v>
      </c>
      <c r="G6" s="75" t="s">
        <v>15</v>
      </c>
      <c r="H6" s="75" t="s">
        <v>3820</v>
      </c>
      <c r="I6" s="75" t="s">
        <v>4492</v>
      </c>
      <c r="J6" s="75" t="s">
        <v>14</v>
      </c>
      <c r="K6" s="75"/>
    </row>
    <row r="7" spans="1:11">
      <c r="A7" s="75" t="s">
        <v>3824</v>
      </c>
      <c r="B7" s="75" t="s">
        <v>29</v>
      </c>
      <c r="C7" s="75" t="s">
        <v>1472</v>
      </c>
      <c r="D7" s="75" t="s">
        <v>1737</v>
      </c>
      <c r="E7" s="75" t="s">
        <v>3825</v>
      </c>
      <c r="F7" s="75" t="s">
        <v>4485</v>
      </c>
      <c r="G7" s="75" t="s">
        <v>46</v>
      </c>
      <c r="H7" s="75" t="s">
        <v>4486</v>
      </c>
      <c r="I7" s="75" t="s">
        <v>4493</v>
      </c>
      <c r="J7" s="75" t="s">
        <v>14</v>
      </c>
      <c r="K7" s="75"/>
    </row>
    <row r="8" spans="1:11">
      <c r="A8" s="75" t="s">
        <v>3826</v>
      </c>
      <c r="B8" s="75" t="s">
        <v>13</v>
      </c>
      <c r="C8" s="75" t="s">
        <v>1472</v>
      </c>
      <c r="D8" s="75" t="s">
        <v>1740</v>
      </c>
      <c r="E8" s="75" t="s">
        <v>3827</v>
      </c>
      <c r="F8" s="75" t="s">
        <v>4489</v>
      </c>
      <c r="G8" s="75" t="s">
        <v>59</v>
      </c>
      <c r="H8" s="75" t="s">
        <v>3820</v>
      </c>
      <c r="I8" s="75" t="s">
        <v>4494</v>
      </c>
      <c r="J8" s="75" t="s">
        <v>14</v>
      </c>
      <c r="K8" s="75"/>
    </row>
    <row r="9" spans="1:11">
      <c r="A9" s="75" t="s">
        <v>3830</v>
      </c>
      <c r="B9" s="75" t="s">
        <v>13</v>
      </c>
      <c r="C9" s="75" t="s">
        <v>1472</v>
      </c>
      <c r="D9" s="75" t="s">
        <v>1752</v>
      </c>
      <c r="E9" s="75" t="s">
        <v>3831</v>
      </c>
      <c r="F9" s="75" t="s">
        <v>4495</v>
      </c>
      <c r="G9" s="75" t="s">
        <v>46</v>
      </c>
      <c r="H9" s="75" t="s">
        <v>3820</v>
      </c>
      <c r="I9" s="75" t="s">
        <v>4496</v>
      </c>
      <c r="J9" s="75" t="s">
        <v>14</v>
      </c>
      <c r="K9" s="75"/>
    </row>
    <row r="10" spans="1:11">
      <c r="A10" s="75" t="s">
        <v>3832</v>
      </c>
      <c r="B10" s="75" t="s">
        <v>13</v>
      </c>
      <c r="C10" s="75" t="s">
        <v>1472</v>
      </c>
      <c r="D10" s="75" t="s">
        <v>1761</v>
      </c>
      <c r="E10" s="75" t="s">
        <v>3831</v>
      </c>
      <c r="F10" s="75" t="s">
        <v>4485</v>
      </c>
      <c r="G10" s="75" t="s">
        <v>15</v>
      </c>
      <c r="H10" s="75" t="s">
        <v>3820</v>
      </c>
      <c r="I10" s="75" t="s">
        <v>4497</v>
      </c>
      <c r="J10" s="75" t="s">
        <v>14</v>
      </c>
      <c r="K10" s="75"/>
    </row>
    <row r="11" spans="1:11">
      <c r="A11" s="75" t="s">
        <v>3833</v>
      </c>
      <c r="B11" s="75" t="s">
        <v>13</v>
      </c>
      <c r="C11" s="75" t="s">
        <v>1472</v>
      </c>
      <c r="D11" s="75" t="s">
        <v>1764</v>
      </c>
      <c r="E11" s="75" t="s">
        <v>3834</v>
      </c>
      <c r="F11" s="75" t="s">
        <v>4489</v>
      </c>
      <c r="G11" s="75" t="s">
        <v>15</v>
      </c>
      <c r="H11" s="75" t="s">
        <v>3820</v>
      </c>
      <c r="I11" s="75" t="s">
        <v>4498</v>
      </c>
      <c r="J11" s="75" t="s">
        <v>14</v>
      </c>
      <c r="K11" s="75"/>
    </row>
    <row r="12" spans="1:11">
      <c r="A12" s="75" t="s">
        <v>3835</v>
      </c>
      <c r="B12" s="75" t="s">
        <v>29</v>
      </c>
      <c r="C12" s="75" t="s">
        <v>1472</v>
      </c>
      <c r="D12" s="75" t="s">
        <v>1773</v>
      </c>
      <c r="E12" s="75" t="s">
        <v>3817</v>
      </c>
      <c r="F12" s="75" t="s">
        <v>4495</v>
      </c>
      <c r="G12" s="75" t="s">
        <v>15</v>
      </c>
      <c r="H12" s="75" t="s">
        <v>4486</v>
      </c>
      <c r="I12" s="75" t="s">
        <v>4499</v>
      </c>
      <c r="J12" s="75" t="s">
        <v>14</v>
      </c>
      <c r="K12" s="75"/>
    </row>
    <row r="13" spans="1:11">
      <c r="A13" s="75" t="s">
        <v>3836</v>
      </c>
      <c r="B13" s="75" t="s">
        <v>29</v>
      </c>
      <c r="C13" s="75" t="s">
        <v>1472</v>
      </c>
      <c r="D13" s="75" t="s">
        <v>1779</v>
      </c>
      <c r="E13" s="75" t="s">
        <v>3815</v>
      </c>
      <c r="F13" s="75" t="s">
        <v>4495</v>
      </c>
      <c r="G13" s="75" t="s">
        <v>59</v>
      </c>
      <c r="H13" s="75" t="s">
        <v>4486</v>
      </c>
      <c r="I13" s="75" t="s">
        <v>4500</v>
      </c>
      <c r="J13" s="75" t="s">
        <v>14</v>
      </c>
      <c r="K13" s="75"/>
    </row>
    <row r="14" spans="1:11">
      <c r="A14" s="75" t="s">
        <v>3837</v>
      </c>
      <c r="B14" s="75" t="s">
        <v>29</v>
      </c>
      <c r="C14" s="75" t="s">
        <v>1472</v>
      </c>
      <c r="D14" s="75" t="s">
        <v>1782</v>
      </c>
      <c r="E14" s="75" t="s">
        <v>3817</v>
      </c>
      <c r="F14" s="75" t="s">
        <v>4495</v>
      </c>
      <c r="G14" s="75" t="s">
        <v>15</v>
      </c>
      <c r="H14" s="75" t="s">
        <v>4486</v>
      </c>
      <c r="I14" s="75" t="s">
        <v>4501</v>
      </c>
      <c r="J14" s="75" t="s">
        <v>14</v>
      </c>
      <c r="K14" s="75"/>
    </row>
    <row r="15" spans="1:11">
      <c r="A15" s="75" t="s">
        <v>3838</v>
      </c>
      <c r="B15" s="75" t="s">
        <v>13</v>
      </c>
      <c r="C15" s="75" t="s">
        <v>1472</v>
      </c>
      <c r="D15" s="75" t="s">
        <v>1785</v>
      </c>
      <c r="E15" s="75" t="s">
        <v>3831</v>
      </c>
      <c r="F15" s="75" t="s">
        <v>4489</v>
      </c>
      <c r="G15" s="75" t="s">
        <v>15</v>
      </c>
      <c r="H15" s="75" t="s">
        <v>3820</v>
      </c>
      <c r="I15" s="75" t="s">
        <v>4496</v>
      </c>
      <c r="J15" s="75" t="s">
        <v>14</v>
      </c>
      <c r="K15" s="75"/>
    </row>
    <row r="16" spans="1:11">
      <c r="A16" s="75" t="s">
        <v>3840</v>
      </c>
      <c r="B16" s="75" t="s">
        <v>29</v>
      </c>
      <c r="C16" s="75" t="s">
        <v>1472</v>
      </c>
      <c r="D16" s="75" t="s">
        <v>1791</v>
      </c>
      <c r="E16" s="75" t="s">
        <v>3839</v>
      </c>
      <c r="F16" s="75" t="s">
        <v>4495</v>
      </c>
      <c r="G16" s="75" t="s">
        <v>46</v>
      </c>
      <c r="H16" s="75" t="s">
        <v>4486</v>
      </c>
      <c r="I16" s="75" t="s">
        <v>4487</v>
      </c>
      <c r="J16" s="75" t="s">
        <v>14</v>
      </c>
      <c r="K16" s="75"/>
    </row>
    <row r="17" spans="1:11">
      <c r="A17" s="75" t="s">
        <v>3841</v>
      </c>
      <c r="B17" s="75" t="s">
        <v>13</v>
      </c>
      <c r="C17" s="75" t="s">
        <v>1472</v>
      </c>
      <c r="D17" s="75" t="s">
        <v>1794</v>
      </c>
      <c r="E17" s="75" t="s">
        <v>3842</v>
      </c>
      <c r="F17" s="75" t="s">
        <v>4502</v>
      </c>
      <c r="G17" s="75" t="s">
        <v>46</v>
      </c>
      <c r="H17" s="75" t="s">
        <v>3820</v>
      </c>
      <c r="I17" s="75" t="s">
        <v>4503</v>
      </c>
      <c r="J17" s="75" t="s">
        <v>14</v>
      </c>
      <c r="K17" s="75"/>
    </row>
    <row r="18" spans="1:11">
      <c r="A18" s="75" t="s">
        <v>3843</v>
      </c>
      <c r="B18" s="75" t="s">
        <v>43</v>
      </c>
      <c r="C18" s="75" t="s">
        <v>1472</v>
      </c>
      <c r="D18" s="75" t="s">
        <v>1797</v>
      </c>
      <c r="E18" s="75" t="s">
        <v>3815</v>
      </c>
      <c r="F18" s="75" t="s">
        <v>4489</v>
      </c>
      <c r="G18" s="75" t="s">
        <v>59</v>
      </c>
      <c r="H18" s="75" t="s">
        <v>3844</v>
      </c>
      <c r="I18" s="75" t="s">
        <v>4504</v>
      </c>
      <c r="J18" s="75" t="s">
        <v>30</v>
      </c>
      <c r="K18" s="75"/>
    </row>
    <row r="19" spans="1:11">
      <c r="A19" s="75" t="s">
        <v>3845</v>
      </c>
      <c r="B19" s="75" t="s">
        <v>13</v>
      </c>
      <c r="C19" s="75" t="s">
        <v>1472</v>
      </c>
      <c r="D19" s="75" t="s">
        <v>1803</v>
      </c>
      <c r="E19" s="75" t="s">
        <v>3842</v>
      </c>
      <c r="F19" s="75" t="s">
        <v>4489</v>
      </c>
      <c r="G19" s="75" t="s">
        <v>46</v>
      </c>
      <c r="H19" s="75" t="s">
        <v>3820</v>
      </c>
      <c r="I19" s="75" t="s">
        <v>4505</v>
      </c>
      <c r="J19" s="75" t="s">
        <v>14</v>
      </c>
      <c r="K19" s="75"/>
    </row>
    <row r="20" spans="1:11">
      <c r="A20" s="75" t="s">
        <v>3846</v>
      </c>
      <c r="B20" s="75" t="s">
        <v>29</v>
      </c>
      <c r="C20" s="75" t="s">
        <v>1472</v>
      </c>
      <c r="D20" s="75" t="s">
        <v>1809</v>
      </c>
      <c r="E20" s="75" t="s">
        <v>3847</v>
      </c>
      <c r="F20" s="75" t="s">
        <v>4485</v>
      </c>
      <c r="G20" s="75" t="s">
        <v>46</v>
      </c>
      <c r="H20" s="75" t="s">
        <v>4486</v>
      </c>
      <c r="I20" s="75" t="s">
        <v>4506</v>
      </c>
      <c r="J20" s="75" t="s">
        <v>14</v>
      </c>
      <c r="K20" s="75"/>
    </row>
    <row r="21" spans="1:11">
      <c r="A21" s="75" t="s">
        <v>3848</v>
      </c>
      <c r="B21" s="75" t="s">
        <v>29</v>
      </c>
      <c r="C21" s="75" t="s">
        <v>1472</v>
      </c>
      <c r="D21" s="75" t="s">
        <v>1812</v>
      </c>
      <c r="E21" s="75" t="s">
        <v>3825</v>
      </c>
      <c r="F21" s="75" t="s">
        <v>4495</v>
      </c>
      <c r="G21" s="75" t="s">
        <v>15</v>
      </c>
      <c r="H21" s="75" t="s">
        <v>4486</v>
      </c>
      <c r="I21" s="75" t="s">
        <v>4487</v>
      </c>
      <c r="J21" s="75" t="s">
        <v>14</v>
      </c>
      <c r="K21" s="75"/>
    </row>
    <row r="22" spans="1:11">
      <c r="A22" s="75" t="s">
        <v>3849</v>
      </c>
      <c r="B22" s="75" t="s">
        <v>13</v>
      </c>
      <c r="C22" s="75" t="s">
        <v>17</v>
      </c>
      <c r="D22" s="75" t="s">
        <v>149</v>
      </c>
      <c r="E22" s="75" t="s">
        <v>3834</v>
      </c>
      <c r="F22" s="75" t="s">
        <v>4507</v>
      </c>
      <c r="G22" s="75" t="s">
        <v>15</v>
      </c>
      <c r="H22" s="75" t="s">
        <v>3820</v>
      </c>
      <c r="I22" s="75" t="s">
        <v>4508</v>
      </c>
      <c r="J22" s="75" t="s">
        <v>14</v>
      </c>
      <c r="K22" s="75"/>
    </row>
    <row r="23" spans="1:11">
      <c r="A23" s="75" t="s">
        <v>3850</v>
      </c>
      <c r="B23" s="75" t="s">
        <v>43</v>
      </c>
      <c r="C23" s="75" t="s">
        <v>17</v>
      </c>
      <c r="D23" s="75" t="s">
        <v>158</v>
      </c>
      <c r="E23" s="75" t="s">
        <v>3812</v>
      </c>
      <c r="F23" s="75" t="s">
        <v>4509</v>
      </c>
      <c r="G23" s="75" t="s">
        <v>59</v>
      </c>
      <c r="H23" s="75" t="s">
        <v>3844</v>
      </c>
      <c r="I23" s="75" t="s">
        <v>4504</v>
      </c>
      <c r="J23" s="75" t="s">
        <v>30</v>
      </c>
      <c r="K23" s="75"/>
    </row>
    <row r="24" spans="1:11">
      <c r="A24" s="75" t="s">
        <v>3853</v>
      </c>
      <c r="B24" s="75" t="s">
        <v>29</v>
      </c>
      <c r="C24" s="75" t="s">
        <v>17</v>
      </c>
      <c r="D24" s="75" t="s">
        <v>164</v>
      </c>
      <c r="E24" s="75" t="s">
        <v>3815</v>
      </c>
      <c r="F24" s="75" t="s">
        <v>4510</v>
      </c>
      <c r="G24" s="75" t="s">
        <v>3852</v>
      </c>
      <c r="H24" s="75" t="s">
        <v>4486</v>
      </c>
      <c r="I24" s="75" t="s">
        <v>4511</v>
      </c>
      <c r="J24" s="75" t="s">
        <v>14</v>
      </c>
      <c r="K24" s="75"/>
    </row>
    <row r="25" spans="1:11">
      <c r="A25" s="75" t="s">
        <v>3854</v>
      </c>
      <c r="B25" s="75" t="s">
        <v>13</v>
      </c>
      <c r="C25" s="75" t="s">
        <v>17</v>
      </c>
      <c r="D25" s="75" t="s">
        <v>170</v>
      </c>
      <c r="E25" s="75" t="s">
        <v>3831</v>
      </c>
      <c r="F25" s="75" t="s">
        <v>4509</v>
      </c>
      <c r="G25" s="75" t="s">
        <v>46</v>
      </c>
      <c r="H25" s="75" t="s">
        <v>3820</v>
      </c>
      <c r="I25" s="75" t="s">
        <v>4512</v>
      </c>
      <c r="J25" s="75" t="s">
        <v>14</v>
      </c>
      <c r="K25" s="75"/>
    </row>
    <row r="26" spans="1:11">
      <c r="A26" s="75" t="s">
        <v>3855</v>
      </c>
      <c r="B26" s="75" t="s">
        <v>29</v>
      </c>
      <c r="C26" s="75" t="s">
        <v>17</v>
      </c>
      <c r="D26" s="75" t="s">
        <v>194</v>
      </c>
      <c r="E26" s="75" t="s">
        <v>3839</v>
      </c>
      <c r="F26" s="75" t="s">
        <v>4507</v>
      </c>
      <c r="G26" s="75" t="s">
        <v>46</v>
      </c>
      <c r="H26" s="75" t="s">
        <v>4486</v>
      </c>
      <c r="I26" s="75" t="s">
        <v>4513</v>
      </c>
      <c r="J26" s="75" t="s">
        <v>14</v>
      </c>
      <c r="K26" s="75"/>
    </row>
    <row r="27" spans="1:11">
      <c r="A27" s="75" t="s">
        <v>3856</v>
      </c>
      <c r="B27" s="75" t="s">
        <v>29</v>
      </c>
      <c r="C27" s="75" t="s">
        <v>17</v>
      </c>
      <c r="D27" s="75" t="s">
        <v>227</v>
      </c>
      <c r="E27" s="75" t="s">
        <v>3813</v>
      </c>
      <c r="F27" s="75" t="s">
        <v>4510</v>
      </c>
      <c r="G27" s="75" t="s">
        <v>15</v>
      </c>
      <c r="H27" s="75" t="s">
        <v>4486</v>
      </c>
      <c r="I27" s="75" t="s">
        <v>4514</v>
      </c>
      <c r="J27" s="75" t="s">
        <v>14</v>
      </c>
      <c r="K27" s="75"/>
    </row>
    <row r="28" spans="1:11">
      <c r="A28" s="75" t="s">
        <v>3857</v>
      </c>
      <c r="B28" s="75" t="s">
        <v>13</v>
      </c>
      <c r="C28" s="75" t="s">
        <v>17</v>
      </c>
      <c r="D28" s="75" t="s">
        <v>233</v>
      </c>
      <c r="E28" s="75" t="s">
        <v>3823</v>
      </c>
      <c r="F28" s="75" t="s">
        <v>4507</v>
      </c>
      <c r="G28" s="75" t="s">
        <v>46</v>
      </c>
      <c r="H28" s="75" t="s">
        <v>3820</v>
      </c>
      <c r="I28" s="75" t="s">
        <v>4515</v>
      </c>
      <c r="J28" s="75" t="s">
        <v>14</v>
      </c>
      <c r="K28" s="75"/>
    </row>
    <row r="29" spans="1:11">
      <c r="A29" s="75" t="s">
        <v>3858</v>
      </c>
      <c r="B29" s="75" t="s">
        <v>13</v>
      </c>
      <c r="C29" s="75" t="s">
        <v>17</v>
      </c>
      <c r="D29" s="75" t="s">
        <v>242</v>
      </c>
      <c r="E29" s="75" t="s">
        <v>3859</v>
      </c>
      <c r="F29" s="75" t="s">
        <v>4509</v>
      </c>
      <c r="G29" s="75" t="s">
        <v>46</v>
      </c>
      <c r="H29" s="75" t="s">
        <v>3820</v>
      </c>
      <c r="I29" s="75" t="s">
        <v>4515</v>
      </c>
      <c r="J29" s="75" t="s">
        <v>14</v>
      </c>
      <c r="K29" s="75"/>
    </row>
    <row r="30" spans="1:11">
      <c r="A30" s="75" t="s">
        <v>3860</v>
      </c>
      <c r="B30" s="75" t="s">
        <v>29</v>
      </c>
      <c r="C30" s="75" t="s">
        <v>17</v>
      </c>
      <c r="D30" s="75" t="s">
        <v>248</v>
      </c>
      <c r="E30" s="75" t="s">
        <v>3813</v>
      </c>
      <c r="F30" s="75" t="s">
        <v>4509</v>
      </c>
      <c r="G30" s="75" t="s">
        <v>59</v>
      </c>
      <c r="H30" s="75" t="s">
        <v>4486</v>
      </c>
      <c r="I30" s="75" t="s">
        <v>4516</v>
      </c>
      <c r="J30" s="75" t="s">
        <v>14</v>
      </c>
      <c r="K30" s="75"/>
    </row>
    <row r="31" spans="1:11">
      <c r="A31" s="75" t="s">
        <v>3861</v>
      </c>
      <c r="B31" s="75" t="s">
        <v>29</v>
      </c>
      <c r="C31" s="75" t="s">
        <v>33</v>
      </c>
      <c r="D31" s="75" t="s">
        <v>263</v>
      </c>
      <c r="E31" s="75" t="s">
        <v>3847</v>
      </c>
      <c r="F31" s="75" t="s">
        <v>4517</v>
      </c>
      <c r="G31" s="75" t="s">
        <v>31</v>
      </c>
      <c r="H31" s="75" t="s">
        <v>4486</v>
      </c>
      <c r="I31" s="75" t="s">
        <v>4518</v>
      </c>
      <c r="J31" s="75" t="s">
        <v>14</v>
      </c>
      <c r="K31" s="75"/>
    </row>
    <row r="32" spans="1:11">
      <c r="A32" s="75" t="s">
        <v>3862</v>
      </c>
      <c r="B32" s="75" t="s">
        <v>13</v>
      </c>
      <c r="C32" s="75" t="s">
        <v>33</v>
      </c>
      <c r="D32" s="75" t="s">
        <v>266</v>
      </c>
      <c r="E32" s="75" t="s">
        <v>3834</v>
      </c>
      <c r="F32" s="75" t="s">
        <v>4519</v>
      </c>
      <c r="G32" s="75" t="s">
        <v>31</v>
      </c>
      <c r="H32" s="75" t="s">
        <v>3820</v>
      </c>
      <c r="I32" s="75" t="s">
        <v>4516</v>
      </c>
      <c r="J32" s="75" t="s">
        <v>14</v>
      </c>
      <c r="K32" s="75"/>
    </row>
    <row r="33" spans="1:11">
      <c r="A33" s="75" t="s">
        <v>3863</v>
      </c>
      <c r="B33" s="75" t="s">
        <v>13</v>
      </c>
      <c r="C33" s="75" t="s">
        <v>33</v>
      </c>
      <c r="D33" s="75" t="s">
        <v>272</v>
      </c>
      <c r="E33" s="75" t="s">
        <v>3827</v>
      </c>
      <c r="F33" s="75" t="s">
        <v>4517</v>
      </c>
      <c r="G33" s="75" t="s">
        <v>3852</v>
      </c>
      <c r="H33" s="75" t="s">
        <v>3820</v>
      </c>
      <c r="I33" s="75" t="s">
        <v>4520</v>
      </c>
      <c r="J33" s="75" t="s">
        <v>14</v>
      </c>
      <c r="K33" s="75"/>
    </row>
    <row r="34" spans="1:11">
      <c r="A34" s="75" t="s">
        <v>3864</v>
      </c>
      <c r="B34" s="75" t="s">
        <v>29</v>
      </c>
      <c r="C34" s="75" t="s">
        <v>33</v>
      </c>
      <c r="D34" s="75" t="s">
        <v>278</v>
      </c>
      <c r="E34" s="75" t="s">
        <v>3813</v>
      </c>
      <c r="F34" s="75" t="s">
        <v>4517</v>
      </c>
      <c r="G34" s="75" t="s">
        <v>3852</v>
      </c>
      <c r="H34" s="75" t="s">
        <v>4486</v>
      </c>
      <c r="I34" s="75" t="s">
        <v>4521</v>
      </c>
      <c r="J34" s="75" t="s">
        <v>14</v>
      </c>
      <c r="K34" s="75"/>
    </row>
    <row r="35" spans="1:11">
      <c r="A35" s="75" t="s">
        <v>3865</v>
      </c>
      <c r="B35" s="75" t="s">
        <v>29</v>
      </c>
      <c r="C35" s="75" t="s">
        <v>33</v>
      </c>
      <c r="D35" s="75" t="s">
        <v>287</v>
      </c>
      <c r="E35" s="75" t="s">
        <v>3823</v>
      </c>
      <c r="F35" s="75" t="s">
        <v>4522</v>
      </c>
      <c r="G35" s="75" t="s">
        <v>15</v>
      </c>
      <c r="H35" s="75" t="s">
        <v>4486</v>
      </c>
      <c r="I35" s="75" t="s">
        <v>4523</v>
      </c>
      <c r="J35" s="75" t="s">
        <v>14</v>
      </c>
      <c r="K35" s="75"/>
    </row>
    <row r="36" spans="1:11">
      <c r="A36" s="75" t="s">
        <v>3866</v>
      </c>
      <c r="B36" s="75" t="s">
        <v>29</v>
      </c>
      <c r="C36" s="75" t="s">
        <v>33</v>
      </c>
      <c r="D36" s="75" t="s">
        <v>290</v>
      </c>
      <c r="E36" s="75" t="s">
        <v>3813</v>
      </c>
      <c r="F36" s="75" t="s">
        <v>4522</v>
      </c>
      <c r="G36" s="75" t="s">
        <v>31</v>
      </c>
      <c r="H36" s="75" t="s">
        <v>4486</v>
      </c>
      <c r="I36" s="75" t="s">
        <v>4514</v>
      </c>
      <c r="J36" s="75" t="s">
        <v>14</v>
      </c>
      <c r="K36" s="75"/>
    </row>
    <row r="37" spans="1:11">
      <c r="A37" s="75" t="s">
        <v>3867</v>
      </c>
      <c r="B37" s="75" t="s">
        <v>29</v>
      </c>
      <c r="C37" s="75" t="s">
        <v>33</v>
      </c>
      <c r="D37" s="75" t="s">
        <v>293</v>
      </c>
      <c r="E37" s="75" t="s">
        <v>3825</v>
      </c>
      <c r="F37" s="75" t="s">
        <v>4519</v>
      </c>
      <c r="G37" s="75" t="s">
        <v>15</v>
      </c>
      <c r="H37" s="75" t="s">
        <v>4486</v>
      </c>
      <c r="I37" s="75" t="s">
        <v>4501</v>
      </c>
      <c r="J37" s="75" t="s">
        <v>14</v>
      </c>
      <c r="K37" s="75"/>
    </row>
    <row r="38" spans="1:11">
      <c r="A38" s="75" t="s">
        <v>3868</v>
      </c>
      <c r="B38" s="75" t="s">
        <v>43</v>
      </c>
      <c r="C38" s="75" t="s">
        <v>33</v>
      </c>
      <c r="D38" s="75" t="s">
        <v>296</v>
      </c>
      <c r="E38" s="75" t="s">
        <v>3813</v>
      </c>
      <c r="F38" s="75" t="s">
        <v>4519</v>
      </c>
      <c r="G38" s="75" t="s">
        <v>31</v>
      </c>
      <c r="H38" s="75" t="s">
        <v>3844</v>
      </c>
      <c r="I38" s="75" t="s">
        <v>4524</v>
      </c>
      <c r="J38" s="75" t="s">
        <v>30</v>
      </c>
      <c r="K38" s="75"/>
    </row>
    <row r="39" spans="1:11">
      <c r="A39" s="75" t="s">
        <v>3869</v>
      </c>
      <c r="B39" s="75" t="s">
        <v>29</v>
      </c>
      <c r="C39" s="75" t="s">
        <v>33</v>
      </c>
      <c r="D39" s="75" t="s">
        <v>299</v>
      </c>
      <c r="E39" s="75" t="s">
        <v>3831</v>
      </c>
      <c r="F39" s="75" t="s">
        <v>4522</v>
      </c>
      <c r="G39" s="75" t="s">
        <v>15</v>
      </c>
      <c r="H39" s="75" t="s">
        <v>4486</v>
      </c>
      <c r="I39" s="75" t="s">
        <v>4525</v>
      </c>
      <c r="J39" s="75" t="s">
        <v>14</v>
      </c>
      <c r="K39" s="75"/>
    </row>
    <row r="40" spans="1:11">
      <c r="A40" s="75" t="s">
        <v>3870</v>
      </c>
      <c r="B40" s="75" t="s">
        <v>29</v>
      </c>
      <c r="C40" s="75" t="s">
        <v>33</v>
      </c>
      <c r="D40" s="75" t="s">
        <v>302</v>
      </c>
      <c r="E40" s="75" t="s">
        <v>3859</v>
      </c>
      <c r="F40" s="75" t="s">
        <v>4522</v>
      </c>
      <c r="G40" s="75" t="s">
        <v>59</v>
      </c>
      <c r="H40" s="75" t="s">
        <v>4486</v>
      </c>
      <c r="I40" s="75" t="s">
        <v>4526</v>
      </c>
      <c r="J40" s="75" t="s">
        <v>14</v>
      </c>
      <c r="K40" s="75"/>
    </row>
    <row r="41" spans="1:11">
      <c r="A41" s="75" t="s">
        <v>3871</v>
      </c>
      <c r="B41" s="75" t="s">
        <v>13</v>
      </c>
      <c r="C41" s="75" t="s">
        <v>33</v>
      </c>
      <c r="D41" s="75" t="s">
        <v>308</v>
      </c>
      <c r="E41" s="75" t="s">
        <v>3847</v>
      </c>
      <c r="F41" s="75" t="s">
        <v>4517</v>
      </c>
      <c r="G41" s="75" t="s">
        <v>3852</v>
      </c>
      <c r="H41" s="75" t="s">
        <v>3820</v>
      </c>
      <c r="I41" s="75" t="s">
        <v>4527</v>
      </c>
      <c r="J41" s="75" t="s">
        <v>14</v>
      </c>
      <c r="K41" s="75"/>
    </row>
    <row r="42" spans="1:11">
      <c r="A42" s="75" t="s">
        <v>3872</v>
      </c>
      <c r="B42" s="75" t="s">
        <v>13</v>
      </c>
      <c r="C42" s="75" t="s">
        <v>33</v>
      </c>
      <c r="D42" s="75" t="s">
        <v>314</v>
      </c>
      <c r="E42" s="75" t="s">
        <v>3847</v>
      </c>
      <c r="F42" s="75" t="s">
        <v>4517</v>
      </c>
      <c r="G42" s="75" t="s">
        <v>31</v>
      </c>
      <c r="H42" s="75" t="s">
        <v>3820</v>
      </c>
      <c r="I42" s="75" t="s">
        <v>4528</v>
      </c>
      <c r="J42" s="75" t="s">
        <v>14</v>
      </c>
      <c r="K42" s="75"/>
    </row>
    <row r="43" spans="1:11">
      <c r="A43" s="75" t="s">
        <v>3873</v>
      </c>
      <c r="B43" s="75" t="s">
        <v>13</v>
      </c>
      <c r="C43" s="75" t="s">
        <v>33</v>
      </c>
      <c r="D43" s="75" t="s">
        <v>337</v>
      </c>
      <c r="E43" s="75" t="s">
        <v>3831</v>
      </c>
      <c r="F43" s="75" t="s">
        <v>4517</v>
      </c>
      <c r="G43" s="75" t="s">
        <v>15</v>
      </c>
      <c r="H43" s="75" t="s">
        <v>3820</v>
      </c>
      <c r="I43" s="75" t="s">
        <v>4492</v>
      </c>
      <c r="J43" s="75" t="s">
        <v>14</v>
      </c>
      <c r="K43" s="75"/>
    </row>
    <row r="44" spans="1:11">
      <c r="A44" s="75" t="s">
        <v>3874</v>
      </c>
      <c r="B44" s="75" t="s">
        <v>29</v>
      </c>
      <c r="C44" s="75" t="s">
        <v>33</v>
      </c>
      <c r="D44" s="75" t="s">
        <v>340</v>
      </c>
      <c r="E44" s="75" t="s">
        <v>3834</v>
      </c>
      <c r="F44" s="75" t="s">
        <v>4517</v>
      </c>
      <c r="G44" s="75" t="s">
        <v>46</v>
      </c>
      <c r="H44" s="75" t="s">
        <v>4486</v>
      </c>
      <c r="I44" s="75" t="s">
        <v>4500</v>
      </c>
      <c r="J44" s="75" t="s">
        <v>14</v>
      </c>
      <c r="K44" s="75"/>
    </row>
    <row r="45" spans="1:11">
      <c r="A45" s="75" t="s">
        <v>3875</v>
      </c>
      <c r="B45" s="75" t="s">
        <v>29</v>
      </c>
      <c r="C45" s="75" t="s">
        <v>33</v>
      </c>
      <c r="D45" s="75" t="s">
        <v>343</v>
      </c>
      <c r="E45" s="75" t="s">
        <v>3847</v>
      </c>
      <c r="F45" s="75" t="s">
        <v>4522</v>
      </c>
      <c r="G45" s="75" t="s">
        <v>15</v>
      </c>
      <c r="H45" s="75" t="s">
        <v>4486</v>
      </c>
      <c r="I45" s="75" t="s">
        <v>4529</v>
      </c>
      <c r="J45" s="75" t="s">
        <v>14</v>
      </c>
      <c r="K45" s="75"/>
    </row>
    <row r="46" spans="1:11">
      <c r="A46" s="75" t="s">
        <v>3876</v>
      </c>
      <c r="B46" s="75" t="s">
        <v>13</v>
      </c>
      <c r="C46" s="75" t="s">
        <v>33</v>
      </c>
      <c r="D46" s="75" t="s">
        <v>349</v>
      </c>
      <c r="E46" s="75" t="s">
        <v>3859</v>
      </c>
      <c r="F46" s="75" t="s">
        <v>4517</v>
      </c>
      <c r="G46" s="75" t="s">
        <v>31</v>
      </c>
      <c r="H46" s="75" t="s">
        <v>3820</v>
      </c>
      <c r="I46" s="75" t="s">
        <v>4530</v>
      </c>
      <c r="J46" s="75" t="s">
        <v>14</v>
      </c>
      <c r="K46" s="75"/>
    </row>
    <row r="47" spans="1:11">
      <c r="A47" s="75"/>
      <c r="B47" s="75"/>
      <c r="C47" s="75"/>
      <c r="D47" s="75"/>
      <c r="E47" s="75"/>
      <c r="F47" s="75"/>
      <c r="G47" s="75"/>
      <c r="H47" s="75"/>
      <c r="I47" s="75"/>
      <c r="J47" s="75"/>
      <c r="K47" s="75"/>
    </row>
    <row r="48" spans="1:11">
      <c r="A48" s="75"/>
      <c r="B48" s="75"/>
      <c r="C48" s="75"/>
      <c r="D48" s="75"/>
      <c r="E48" s="75"/>
      <c r="F48" s="75"/>
      <c r="G48" s="75"/>
      <c r="H48" s="75"/>
      <c r="I48" s="75"/>
      <c r="J48" s="75"/>
      <c r="K48" s="75"/>
    </row>
    <row r="49" spans="1:11">
      <c r="A49" s="75"/>
      <c r="B49" s="75"/>
      <c r="C49" s="75"/>
      <c r="D49" s="75"/>
      <c r="E49" s="75"/>
      <c r="F49" s="75"/>
      <c r="G49" s="75"/>
      <c r="H49" s="75"/>
      <c r="I49" s="75"/>
      <c r="J49" s="75"/>
      <c r="K49" s="75"/>
    </row>
    <row r="50" spans="1:11">
      <c r="A50" s="75"/>
      <c r="B50" s="75"/>
      <c r="C50" s="75"/>
      <c r="D50" s="75"/>
      <c r="E50" s="75"/>
      <c r="F50" s="75"/>
      <c r="G50" s="75"/>
      <c r="H50" s="75"/>
      <c r="I50" s="75"/>
      <c r="J50" s="75"/>
      <c r="K50" s="75"/>
    </row>
    <row r="51" spans="1:11">
      <c r="A51" s="75"/>
      <c r="B51" s="75"/>
      <c r="C51" s="75"/>
      <c r="D51" s="75"/>
      <c r="E51" s="75"/>
      <c r="F51" s="75"/>
      <c r="G51" s="75"/>
      <c r="H51" s="75"/>
      <c r="I51" s="75"/>
      <c r="J51" s="75"/>
      <c r="K51" s="75"/>
    </row>
    <row r="52" spans="1:11">
      <c r="A52" s="75"/>
      <c r="B52" s="75"/>
      <c r="C52" s="75"/>
      <c r="D52" s="75"/>
      <c r="E52" s="75"/>
      <c r="F52" s="75"/>
      <c r="G52" s="75"/>
      <c r="H52" s="75"/>
      <c r="I52" s="75"/>
      <c r="J52" s="75"/>
      <c r="K52" s="75"/>
    </row>
    <row r="53" spans="1:11">
      <c r="A53" s="75"/>
      <c r="B53" s="75"/>
      <c r="C53" s="75"/>
      <c r="D53" s="75"/>
      <c r="E53" s="75"/>
      <c r="F53" s="75"/>
      <c r="G53" s="75"/>
      <c r="H53" s="75"/>
      <c r="I53" s="75"/>
      <c r="J53" s="75"/>
      <c r="K53" s="75"/>
    </row>
    <row r="54" spans="1:11">
      <c r="A54" s="75"/>
      <c r="B54" s="75"/>
      <c r="C54" s="75"/>
      <c r="D54" s="75"/>
      <c r="E54" s="75"/>
      <c r="F54" s="75"/>
      <c r="G54" s="75"/>
      <c r="H54" s="75"/>
      <c r="I54" s="75"/>
      <c r="J54" s="75"/>
      <c r="K54" s="75"/>
    </row>
    <row r="55" spans="1:11">
      <c r="A55" s="75"/>
      <c r="B55" s="75"/>
      <c r="C55" s="75"/>
      <c r="D55" s="75"/>
      <c r="E55" s="75"/>
      <c r="F55" s="75"/>
      <c r="G55" s="75"/>
      <c r="H55" s="75"/>
      <c r="I55" s="75"/>
      <c r="J55" s="75"/>
      <c r="K55" s="75"/>
    </row>
    <row r="56" spans="1:11">
      <c r="A56" s="75"/>
      <c r="B56" s="75"/>
      <c r="C56" s="75"/>
      <c r="D56" s="75"/>
      <c r="E56" s="75"/>
      <c r="F56" s="75"/>
      <c r="G56" s="75"/>
      <c r="H56" s="75"/>
      <c r="I56" s="75"/>
      <c r="J56" s="75"/>
      <c r="K56" s="75"/>
    </row>
    <row r="57" spans="1:11">
      <c r="A57" s="75"/>
      <c r="B57" s="75"/>
      <c r="C57" s="75"/>
      <c r="D57" s="75"/>
      <c r="E57" s="75"/>
      <c r="F57" s="75"/>
      <c r="G57" s="75"/>
      <c r="H57" s="75"/>
      <c r="I57" s="75"/>
      <c r="J57" s="75"/>
      <c r="K57" s="75"/>
    </row>
    <row r="58" spans="1:11">
      <c r="A58" s="75"/>
      <c r="B58" s="75"/>
      <c r="C58" s="75"/>
      <c r="D58" s="75"/>
      <c r="E58" s="75"/>
      <c r="F58" s="75"/>
      <c r="G58" s="75"/>
      <c r="H58" s="75"/>
      <c r="I58" s="75"/>
      <c r="J58" s="75"/>
      <c r="K58" s="75"/>
    </row>
    <row r="59" spans="1:11">
      <c r="A59" s="75"/>
      <c r="B59" s="75"/>
      <c r="C59" s="75"/>
      <c r="D59" s="75"/>
      <c r="E59" s="75"/>
      <c r="F59" s="75"/>
      <c r="G59" s="75"/>
      <c r="H59" s="75"/>
      <c r="I59" s="75"/>
      <c r="J59" s="75"/>
      <c r="K59" s="75"/>
    </row>
    <row r="60" spans="1:11">
      <c r="A60" s="75"/>
      <c r="B60" s="75"/>
      <c r="C60" s="75"/>
      <c r="D60" s="75"/>
      <c r="E60" s="75"/>
      <c r="F60" s="75"/>
      <c r="G60" s="75"/>
      <c r="H60" s="75"/>
      <c r="I60" s="75"/>
      <c r="J60" s="75"/>
      <c r="K60" s="75"/>
    </row>
    <row r="61" spans="1:11">
      <c r="A61" s="75"/>
      <c r="B61" s="75"/>
      <c r="C61" s="75"/>
      <c r="D61" s="75"/>
      <c r="E61" s="75"/>
      <c r="F61" s="75"/>
      <c r="G61" s="75"/>
      <c r="H61" s="75"/>
      <c r="I61" s="75"/>
      <c r="J61" s="75"/>
      <c r="K61" s="75"/>
    </row>
    <row r="62" spans="1:11">
      <c r="A62" s="75"/>
      <c r="B62" s="75"/>
      <c r="C62" s="75"/>
      <c r="D62" s="75"/>
      <c r="E62" s="75"/>
      <c r="F62" s="75"/>
      <c r="G62" s="75"/>
      <c r="H62" s="75"/>
      <c r="I62" s="75"/>
      <c r="J62" s="75"/>
      <c r="K62" s="75"/>
    </row>
    <row r="63" spans="1:11">
      <c r="A63" s="75"/>
      <c r="B63" s="75"/>
      <c r="C63" s="75"/>
      <c r="D63" s="75"/>
      <c r="E63" s="75"/>
      <c r="F63" s="75"/>
      <c r="G63" s="75"/>
      <c r="H63" s="75"/>
      <c r="I63" s="75"/>
      <c r="J63" s="75"/>
      <c r="K63" s="75"/>
    </row>
  </sheetData>
  <sheetProtection algorithmName="SHA-512" hashValue="rV2fu1mbAtCeplXvp+dQdekLbm+X+hqzmo2yNbJAJOdZ1mz+nKE3y9I0bPH1qM3txKPfKZCfUCni8lPkTtMFZQ==" saltValue="4qVkxwnG9eEkNeCRKvjMJA==" spinCount="100000" sheet="1" objects="1" scenarios="1"/>
  <protectedRanges>
    <protectedRange sqref="A2:K63" name="Range1"/>
  </protectedRanges>
  <dataValidations count="4">
    <dataValidation type="list" allowBlank="1" errorTitle="Invalid entry" error="Please select a value from the dropdown list." promptTitle="Select" prompt="Choose from the dropdown." sqref="B64:B488" xr:uid="{00000000-0002-0000-1500-000000000000}">
      <formula1>Priority</formula1>
    </dataValidation>
    <dataValidation type="list" allowBlank="1" errorTitle="Invalid entry" error="Please select a value from the dropdown list." promptTitle="Select" prompt="Choose from the dropdown." sqref="J64:J488" xr:uid="{00000000-0002-0000-1500-000002000000}">
      <formula1>Status</formula1>
    </dataValidation>
    <dataValidation type="list" allowBlank="1" errorTitle="Invalid entry" error="Please select a value from the dropdown list." promptTitle="Select" prompt="Choose from the dropdown." sqref="I2:I63" xr:uid="{29BF794B-B9AE-4995-8FCB-4309C6FF148E}">
      <formula1>PassFail</formula1>
    </dataValidation>
    <dataValidation type="list" allowBlank="1" errorTitle="Invalid entry" error="Please select a value from the dropdown list." promptTitle="Select" prompt="Choose from the dropdown." sqref="C2:C488" xr:uid="{00000000-0002-0000-1500-000001000000}">
      <formula1>SystemList</formula1>
    </dataValidation>
  </dataValidations>
  <pageMargins left="0" right="0" top="0" bottom="0" header="0" footer="0"/>
  <pageSetup scale="52" fitToHeight="0"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179c2944-2a44-4888-8945-8467defc4148">
      <Terms xmlns="http://schemas.microsoft.com/office/infopath/2007/PartnerControls"/>
    </lcf76f155ced4ddcb4097134ff3c332f>
    <TaxCatchAll xmlns="76d7641d-75ef-40e6-a21e-0e3e07a6122c" xsi:nil="true"/>
    <STATUS xmlns="179c2944-2a44-4888-8945-8467defc4148">FINAL</STATU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D51ABBA984FE31488A187E8DD218112D" ma:contentTypeVersion="15" ma:contentTypeDescription="Create a new document." ma:contentTypeScope="" ma:versionID="30800b63d6355ebe65bd746ab27aeb65">
  <xsd:schema xmlns:xsd="http://www.w3.org/2001/XMLSchema" xmlns:xs="http://www.w3.org/2001/XMLSchema" xmlns:p="http://schemas.microsoft.com/office/2006/metadata/properties" xmlns:ns2="179c2944-2a44-4888-8945-8467defc4148" xmlns:ns3="76d7641d-75ef-40e6-a21e-0e3e07a6122c" targetNamespace="http://schemas.microsoft.com/office/2006/metadata/properties" ma:root="true" ma:fieldsID="0646032139ac76d9c68fe9d9058a95ae" ns2:_="" ns3:_="">
    <xsd:import namespace="179c2944-2a44-4888-8945-8467defc4148"/>
    <xsd:import namespace="76d7641d-75ef-40e6-a21e-0e3e07a6122c"/>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STATUS" minOccurs="0"/>
                <xsd:element ref="ns2:lcf76f155ced4ddcb4097134ff3c332f" minOccurs="0"/>
                <xsd:element ref="ns3:TaxCatchAll" minOccurs="0"/>
                <xsd:element ref="ns2:MediaServiceDateTaken" minOccurs="0"/>
                <xsd:element ref="ns2:MediaServiceGenerationTime" minOccurs="0"/>
                <xsd:element ref="ns2:MediaServiceEventHashCode" minOccurs="0"/>
                <xsd:element ref="ns2:MediaServiceOCR" minOccurs="0"/>
                <xsd:element ref="ns2:MediaLengthInSeconds"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79c2944-2a44-4888-8945-8467defc414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STATUS" ma:index="12" nillable="true" ma:displayName="STATUS" ma:default="FINAL" ma:format="RadioButtons" ma:internalName="STATUS">
      <xsd:simpleType>
        <xsd:restriction base="dms:Choice">
          <xsd:enumeration value="FINAL"/>
          <xsd:enumeration value="OLD"/>
          <xsd:enumeration value="WORKING"/>
          <xsd:enumeration value="Published"/>
        </xsd:restriction>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1a606edd-149a-4b70-a1cf-53bb3084adfe" ma:termSetId="09814cd3-568e-fe90-9814-8d621ff8fb84" ma:anchorId="fba54fb3-c3e1-fe81-a776-ca4b69148c4d" ma:open="true" ma:isKeyword="false">
      <xsd:complexType>
        <xsd:sequence>
          <xsd:element ref="pc:Terms" minOccurs="0" maxOccurs="1"/>
        </xsd:sequence>
      </xsd:complex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LengthInSeconds" ma:index="20" nillable="true" ma:displayName="MediaLengthInSeconds" ma:hidden="true" ma:internalName="MediaLengthInSeconds" ma:readOnly="true">
      <xsd:simpleType>
        <xsd:restriction base="dms:Unknown"/>
      </xsd:simpleType>
    </xsd:element>
    <xsd:element name="MediaServiceLocation" ma:index="21" nillable="true" ma:displayName="Location" ma:indexed="true" ma:internalName="MediaServiceLocation" ma:readOnly="true">
      <xsd:simpleType>
        <xsd:restriction base="dms:Text"/>
      </xsd:simpleType>
    </xsd:element>
    <xsd:element name="MediaServiceBillingMetadata" ma:index="22"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6d7641d-75ef-40e6-a21e-0e3e07a6122c"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e4450787-1758-43ce-9db3-908243791e5d}" ma:internalName="TaxCatchAll" ma:showField="CatchAllData" ma:web="76d7641d-75ef-40e6-a21e-0e3e07a6122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C47CE85-990F-43C6-AFEF-D1E79F84154F}">
  <ds:schemaRefs>
    <ds:schemaRef ds:uri="http://schemas.microsoft.com/office/2006/metadata/properties"/>
    <ds:schemaRef ds:uri="http://schemas.microsoft.com/office/infopath/2007/PartnerControls"/>
    <ds:schemaRef ds:uri="179c2944-2a44-4888-8945-8467defc4148"/>
    <ds:schemaRef ds:uri="76d7641d-75ef-40e6-a21e-0e3e07a6122c"/>
  </ds:schemaRefs>
</ds:datastoreItem>
</file>

<file path=customXml/itemProps2.xml><?xml version="1.0" encoding="utf-8"?>
<ds:datastoreItem xmlns:ds="http://schemas.openxmlformats.org/officeDocument/2006/customXml" ds:itemID="{6A564DC9-DADC-4EF5-927D-5CC0D1D26E11}">
  <ds:schemaRefs>
    <ds:schemaRef ds:uri="http://schemas.microsoft.com/sharepoint/v3/contenttype/forms"/>
  </ds:schemaRefs>
</ds:datastoreItem>
</file>

<file path=customXml/itemProps3.xml><?xml version="1.0" encoding="utf-8"?>
<ds:datastoreItem xmlns:ds="http://schemas.openxmlformats.org/officeDocument/2006/customXml" ds:itemID="{79F1AAD6-04CA-43C1-A066-5EEB35544AC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79c2944-2a44-4888-8945-8467defc4148"/>
    <ds:schemaRef ds:uri="76d7641d-75ef-40e6-a21e-0e3e07a6122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23</vt:i4>
      </vt:variant>
    </vt:vector>
  </HeadingPairs>
  <TitlesOfParts>
    <vt:vector size="30" baseType="lpstr">
      <vt:lpstr>User Manual</vt:lpstr>
      <vt:lpstr>Executive Assessment Summary</vt:lpstr>
      <vt:lpstr>Government Compliance Checklist</vt:lpstr>
      <vt:lpstr>Lists</vt:lpstr>
      <vt:lpstr>Building Assessment</vt:lpstr>
      <vt:lpstr>Test Register</vt:lpstr>
      <vt:lpstr>CAPA Register</vt:lpstr>
      <vt:lpstr>Architectural_Fabric_Component</vt:lpstr>
      <vt:lpstr>Architectural_Fabric_Subsystem</vt:lpstr>
      <vt:lpstr>Digital_ICT_Component</vt:lpstr>
      <vt:lpstr>Digital_ICT_Subsystem</vt:lpstr>
      <vt:lpstr>External_Parking_Component</vt:lpstr>
      <vt:lpstr>External_Parking_Subsystem</vt:lpstr>
      <vt:lpstr>FM_Performance_Component</vt:lpstr>
      <vt:lpstr>FM_Performance_Subsystem</vt:lpstr>
      <vt:lpstr>Pools_WaterFeatures_Component</vt:lpstr>
      <vt:lpstr>Pools_WaterFeatures_Subsystem</vt:lpstr>
      <vt:lpstr>'CAPA Register'!Print_Area</vt:lpstr>
      <vt:lpstr>'Executive Assessment Summary'!Print_Area</vt:lpstr>
      <vt:lpstr>'Government Compliance Checklist'!Print_Area</vt:lpstr>
      <vt:lpstr>'Test Register'!Print_Area</vt:lpstr>
      <vt:lpstr>'User Manual'!Print_Area</vt:lpstr>
      <vt:lpstr>'Building Assessment'!Print_Titles</vt:lpstr>
      <vt:lpstr>Responsibility</vt:lpstr>
      <vt:lpstr>Security_Safety_Component</vt:lpstr>
      <vt:lpstr>Security_Safety_Subsystem</vt:lpstr>
      <vt:lpstr>Structural_Component</vt:lpstr>
      <vt:lpstr>Structural_Subsystem</vt:lpstr>
      <vt:lpstr>Sustainability_Component</vt:lpstr>
      <vt:lpstr>Sustainability_Subsystem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amr.elsayed@daralriyadh.com</dc:creator>
  <cp:lastModifiedBy>Mostafa Hammam Elsayed Hammam</cp:lastModifiedBy>
  <cp:lastPrinted>2025-12-25T07:59:49Z</cp:lastPrinted>
  <dcterms:created xsi:type="dcterms:W3CDTF">2025-12-17T06:52:59Z</dcterms:created>
  <dcterms:modified xsi:type="dcterms:W3CDTF">2026-01-06T13:30:41Z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0x010100D51ABBA984FE31488A187E8DD218112D</vt:lpwstr>
  </property>
  <property fmtid="{D5CDD505-2E9C-101B-9397-08002B2CF9AE}" pid="3" name="MediaServiceImageTags">
    <vt:lpwstr/>
  </property>
</Properties>
</file>